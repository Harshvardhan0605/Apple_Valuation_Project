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endra Singh\Documents\Apple_Valuation_Project\"/>
    </mc:Choice>
  </mc:AlternateContent>
  <xr:revisionPtr revIDLastSave="0" documentId="13_ncr:1_{7CEB3045-4D53-41D1-9F1E-2AA1019DE7D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over" sheetId="2" r:id="rId1"/>
    <sheet name="Summary_Sheet" sheetId="7" r:id="rId2"/>
    <sheet name="Inputs" sheetId="4" r:id="rId3"/>
    <sheet name="Model" sheetId="5" r:id="rId4"/>
    <sheet name="DCF" sheetId="6" r:id="rId5"/>
  </sheets>
  <definedNames>
    <definedName name="_xlnm.Print_Area" localSheetId="0">Cover!$B$2:$N$39</definedName>
    <definedName name="_xlnm.Print_Area" localSheetId="4">DCF!#REF!,DCF!#REF!,DCF!#REF!,DCF!#REF!,DCF!#REF!,DCF!#REF!,DCF!#REF!,DCF!#REF!,DCF!$B$3:$O$39,DCF!$B$42:$O$86,DCF!$B$89:$O$133</definedName>
    <definedName name="_xlnm.Print_Area" localSheetId="2">Inputs!$B$3:$M$33,Inputs!$B$36:$M$77,Inputs!$B$80:$M$131</definedName>
    <definedName name="_xlnm.Print_Area" localSheetId="3">Model!$B$118:$O$138,Model!$B$139:$O$179,Model!$B$3:$O$36,Model!$B$184:$O$218,Model!$B$281:$M$324,Model!$B$327:$M$353,Model!$B$356:$M$396,Model!$B$399:$M$438,Model!$B$394:$O$431,Model!$B$434:$O$477,Model!$AB$435:$AO$477</definedName>
    <definedName name="_xlnm.Print_Area" localSheetId="1">Summary_Sheet!$B$3:$R$47,Summary_Sheet!$B$50:$R$91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7" l="1"/>
  <c r="F17" i="7"/>
  <c r="F16" i="7"/>
  <c r="F12" i="7"/>
  <c r="M35" i="7"/>
  <c r="M34" i="7"/>
  <c r="M33" i="7"/>
  <c r="M32" i="7"/>
  <c r="M31" i="7"/>
  <c r="M30" i="7"/>
  <c r="L35" i="7"/>
  <c r="L34" i="7"/>
  <c r="L33" i="7"/>
  <c r="L32" i="7"/>
  <c r="L31" i="7"/>
  <c r="L30" i="7"/>
  <c r="F35" i="7"/>
  <c r="F34" i="7"/>
  <c r="F33" i="7"/>
  <c r="F32" i="7"/>
  <c r="F31" i="7"/>
  <c r="F30" i="7"/>
  <c r="E35" i="7"/>
  <c r="E34" i="7"/>
  <c r="E33" i="7"/>
  <c r="E32" i="7"/>
  <c r="E31" i="7"/>
  <c r="E30" i="7"/>
  <c r="M128" i="6" l="1"/>
  <c r="H128" i="6"/>
  <c r="I95" i="6"/>
  <c r="I94" i="6"/>
  <c r="H94" i="6"/>
  <c r="C94" i="6"/>
  <c r="H81" i="6"/>
  <c r="M81" i="6"/>
  <c r="I59" i="6"/>
  <c r="I62" i="6" s="1"/>
  <c r="C47" i="6"/>
  <c r="I48" i="6"/>
  <c r="I47" i="6"/>
  <c r="H47" i="6"/>
  <c r="N27" i="6"/>
  <c r="H48" i="6" l="1"/>
  <c r="I66" i="6" s="1"/>
  <c r="J47" i="6"/>
  <c r="J59" i="6" s="1"/>
  <c r="J62" i="6" s="1"/>
  <c r="H56" i="6"/>
  <c r="H63" i="6"/>
  <c r="H70" i="6"/>
  <c r="H95" i="6"/>
  <c r="I113" i="6" s="1"/>
  <c r="J94" i="6"/>
  <c r="J95" i="6"/>
  <c r="K95" i="6" s="1"/>
  <c r="L95" i="6" s="1"/>
  <c r="M95" i="6" s="1"/>
  <c r="N95" i="6" s="1"/>
  <c r="H103" i="6"/>
  <c r="H110" i="6"/>
  <c r="H117" i="6"/>
  <c r="J113" i="6" l="1"/>
  <c r="K113" i="6" s="1"/>
  <c r="K47" i="6"/>
  <c r="L47" i="6" s="1"/>
  <c r="L59" i="6" s="1"/>
  <c r="L62" i="6" s="1"/>
  <c r="K94" i="6"/>
  <c r="K106" i="6" s="1"/>
  <c r="K109" i="6" s="1"/>
  <c r="J106" i="6"/>
  <c r="J109" i="6" s="1"/>
  <c r="I106" i="6"/>
  <c r="I109" i="6" s="1"/>
  <c r="J48" i="6"/>
  <c r="K48" i="6" s="1"/>
  <c r="L48" i="6" s="1"/>
  <c r="M48" i="6" s="1"/>
  <c r="N48" i="6" s="1"/>
  <c r="K59" i="6" l="1"/>
  <c r="K62" i="6" s="1"/>
  <c r="M47" i="6"/>
  <c r="N47" i="6" s="1"/>
  <c r="L94" i="6"/>
  <c r="M94" i="6" s="1"/>
  <c r="J66" i="6"/>
  <c r="K66" i="6" s="1"/>
  <c r="L66" i="6" s="1"/>
  <c r="M66" i="6" s="1"/>
  <c r="L113" i="6"/>
  <c r="M113" i="6" s="1"/>
  <c r="N113" i="6" s="1"/>
  <c r="M59" i="6" l="1"/>
  <c r="L106" i="6"/>
  <c r="L109" i="6" s="1"/>
  <c r="M106" i="6"/>
  <c r="M109" i="6" s="1"/>
  <c r="N94" i="6"/>
  <c r="N106" i="6" l="1"/>
  <c r="F103" i="6"/>
  <c r="N189" i="5" l="1"/>
  <c r="M189" i="5"/>
  <c r="H75" i="5"/>
  <c r="G75" i="5"/>
  <c r="F75" i="5"/>
  <c r="H66" i="5"/>
  <c r="G66" i="5"/>
  <c r="F66" i="5"/>
  <c r="H47" i="5"/>
  <c r="I483" i="5"/>
  <c r="H451" i="5"/>
  <c r="I449" i="5"/>
  <c r="H128" i="5"/>
  <c r="F128" i="5"/>
  <c r="H57" i="5" l="1"/>
  <c r="G57" i="5"/>
  <c r="H272" i="5"/>
  <c r="H55" i="5" s="1"/>
  <c r="G272" i="5"/>
  <c r="G55" i="5" s="1"/>
  <c r="H271" i="5"/>
  <c r="H54" i="5" s="1"/>
  <c r="G271" i="5"/>
  <c r="G54" i="5" s="1"/>
  <c r="H270" i="5"/>
  <c r="H53" i="5" s="1"/>
  <c r="G270" i="5"/>
  <c r="G53" i="5" s="1"/>
  <c r="H269" i="5"/>
  <c r="H52" i="5" s="1"/>
  <c r="G269" i="5"/>
  <c r="G52" i="5" s="1"/>
  <c r="H261" i="5"/>
  <c r="G261" i="5"/>
  <c r="F261" i="5"/>
  <c r="H260" i="5"/>
  <c r="G260" i="5"/>
  <c r="F260" i="5"/>
  <c r="G266" i="5"/>
  <c r="J112" i="5"/>
  <c r="K112" i="5"/>
  <c r="L112" i="5"/>
  <c r="M112" i="5"/>
  <c r="I112" i="5"/>
  <c r="H98" i="5"/>
  <c r="H104" i="5" s="1"/>
  <c r="J73" i="5"/>
  <c r="J484" i="5" s="1"/>
  <c r="K73" i="5"/>
  <c r="K484" i="5" s="1"/>
  <c r="L73" i="5"/>
  <c r="L484" i="5" s="1"/>
  <c r="M73" i="5"/>
  <c r="M484" i="5" s="1"/>
  <c r="I73" i="5"/>
  <c r="I484" i="5" s="1"/>
  <c r="J72" i="5"/>
  <c r="K72" i="5"/>
  <c r="L72" i="5"/>
  <c r="M72" i="5"/>
  <c r="I72" i="5"/>
  <c r="J71" i="5"/>
  <c r="J482" i="5" s="1"/>
  <c r="K71" i="5"/>
  <c r="K482" i="5" s="1"/>
  <c r="L71" i="5"/>
  <c r="L482" i="5" s="1"/>
  <c r="M71" i="5"/>
  <c r="M482" i="5" s="1"/>
  <c r="I71" i="5"/>
  <c r="I482" i="5" s="1"/>
  <c r="H522" i="5"/>
  <c r="C11" i="5"/>
  <c r="G11" i="6" s="1"/>
  <c r="H273" i="5"/>
  <c r="G273" i="5"/>
  <c r="H238" i="5"/>
  <c r="G238" i="5"/>
  <c r="F238" i="5"/>
  <c r="I245" i="5"/>
  <c r="I244" i="5"/>
  <c r="I243" i="5"/>
  <c r="I242" i="5"/>
  <c r="M532" i="5"/>
  <c r="L532" i="5"/>
  <c r="K532" i="5"/>
  <c r="J532" i="5"/>
  <c r="I532" i="5"/>
  <c r="H533" i="5"/>
  <c r="I529" i="5" s="1"/>
  <c r="H517" i="5"/>
  <c r="I514" i="5" s="1"/>
  <c r="M483" i="5"/>
  <c r="L483" i="5"/>
  <c r="K483" i="5"/>
  <c r="J483" i="5"/>
  <c r="H493" i="5"/>
  <c r="I491" i="5" s="1"/>
  <c r="H463" i="5"/>
  <c r="I461" i="5" s="1"/>
  <c r="I100" i="5"/>
  <c r="J100" i="5" s="1"/>
  <c r="K100" i="5" s="1"/>
  <c r="L100" i="5" s="1"/>
  <c r="M100" i="5" s="1"/>
  <c r="I93" i="5"/>
  <c r="J93" i="5" s="1"/>
  <c r="K93" i="5" s="1"/>
  <c r="L93" i="5" s="1"/>
  <c r="M93" i="5" s="1"/>
  <c r="H268" i="5"/>
  <c r="H267" i="5"/>
  <c r="H266" i="5"/>
  <c r="G268" i="5"/>
  <c r="G267" i="5"/>
  <c r="J70" i="5"/>
  <c r="K70" i="5"/>
  <c r="L70" i="5"/>
  <c r="M70" i="5"/>
  <c r="I70" i="5"/>
  <c r="G48" i="5"/>
  <c r="H48" i="5"/>
  <c r="F48" i="5"/>
  <c r="G47" i="5"/>
  <c r="F47" i="5"/>
  <c r="F114" i="5" s="1"/>
  <c r="F33" i="5"/>
  <c r="G128" i="5"/>
  <c r="G98" i="5"/>
  <c r="G104" i="5" s="1"/>
  <c r="F98" i="5"/>
  <c r="F104" i="5" s="1"/>
  <c r="C144" i="5"/>
  <c r="K144" i="5" s="1"/>
  <c r="C145" i="5"/>
  <c r="I463" i="5" l="1"/>
  <c r="I466" i="5"/>
  <c r="F115" i="5"/>
  <c r="F119" i="5" s="1"/>
  <c r="G114" i="5"/>
  <c r="N153" i="5"/>
  <c r="M153" i="5"/>
  <c r="G274" i="5"/>
  <c r="H262" i="5"/>
  <c r="I117" i="5"/>
  <c r="J461" i="5"/>
  <c r="H274" i="5"/>
  <c r="F131" i="5"/>
  <c r="F134" i="5" s="1"/>
  <c r="N144" i="5"/>
  <c r="L144" i="5"/>
  <c r="I144" i="5"/>
  <c r="M144" i="5"/>
  <c r="M161" i="5" s="1"/>
  <c r="J144" i="5"/>
  <c r="H114" i="5" l="1"/>
  <c r="H115" i="5" s="1"/>
  <c r="H119" i="5" s="1"/>
  <c r="H131" i="5" s="1"/>
  <c r="H134" i="5" s="1"/>
  <c r="G115" i="5"/>
  <c r="G119" i="5" s="1"/>
  <c r="G131" i="5" s="1"/>
  <c r="G134" i="5" s="1"/>
  <c r="J463" i="5"/>
  <c r="J117" i="5" s="1"/>
  <c r="K461" i="5" l="1"/>
  <c r="K463" i="5" s="1"/>
  <c r="K117" i="5" s="1"/>
  <c r="J466" i="5"/>
  <c r="L461" i="5" l="1"/>
  <c r="L463" i="5" s="1"/>
  <c r="L117" i="5" s="1"/>
  <c r="K466" i="5"/>
  <c r="M461" i="5" l="1"/>
  <c r="M463" i="5" s="1"/>
  <c r="M117" i="5" s="1"/>
  <c r="L466" i="5"/>
  <c r="M466" i="5" l="1"/>
  <c r="D290" i="5" l="1"/>
  <c r="D291" i="5"/>
  <c r="D297" i="5"/>
  <c r="D296" i="5"/>
  <c r="J243" i="5" l="1"/>
  <c r="K243" i="5"/>
  <c r="L243" i="5"/>
  <c r="M243" i="5"/>
  <c r="L87" i="4"/>
  <c r="N243" i="5" s="1"/>
  <c r="J242" i="5"/>
  <c r="J245" i="5"/>
  <c r="J244" i="5"/>
  <c r="G15" i="5"/>
  <c r="G23" i="5" s="1"/>
  <c r="G29" i="5" s="1"/>
  <c r="H15" i="5"/>
  <c r="F15" i="5"/>
  <c r="F23" i="5" s="1"/>
  <c r="F29" i="5" s="1"/>
  <c r="F35" i="5" s="1"/>
  <c r="F46" i="5" s="1"/>
  <c r="F60" i="5" s="1"/>
  <c r="G33" i="5"/>
  <c r="H33" i="5"/>
  <c r="G161" i="5"/>
  <c r="F175" i="5"/>
  <c r="H23" i="5" l="1"/>
  <c r="H29" i="5" s="1"/>
  <c r="H35" i="5" s="1"/>
  <c r="H46" i="5" s="1"/>
  <c r="H60" i="5" s="1"/>
  <c r="H80" i="5" s="1"/>
  <c r="F80" i="5"/>
  <c r="F81" i="5" s="1"/>
  <c r="G35" i="5"/>
  <c r="G46" i="5" s="1"/>
  <c r="G60" i="5" s="1"/>
  <c r="H81" i="5" l="1"/>
  <c r="I478" i="5" s="1"/>
  <c r="I79" i="5" l="1"/>
  <c r="G80" i="5"/>
  <c r="G81" i="5" s="1"/>
  <c r="G150" i="5" l="1"/>
  <c r="H150" i="5" l="1"/>
  <c r="L89" i="4"/>
  <c r="L88" i="4"/>
  <c r="L86" i="4"/>
  <c r="F107" i="4"/>
  <c r="I153" i="5" l="1"/>
  <c r="F154" i="5"/>
  <c r="F179" i="5" s="1"/>
  <c r="G154" i="5"/>
  <c r="G179" i="5" s="1"/>
  <c r="H154" i="5"/>
  <c r="H179" i="5" s="1"/>
  <c r="F161" i="5"/>
  <c r="H161" i="5"/>
  <c r="F162" i="5"/>
  <c r="G162" i="5"/>
  <c r="G163" i="5" s="1"/>
  <c r="G174" i="5" s="1"/>
  <c r="H162" i="5"/>
  <c r="G168" i="5"/>
  <c r="H168" i="5"/>
  <c r="G175" i="5"/>
  <c r="H175" i="5"/>
  <c r="N185" i="5"/>
  <c r="I189" i="5"/>
  <c r="J189" i="5"/>
  <c r="J8" i="5" s="1"/>
  <c r="K189" i="5"/>
  <c r="K8" i="5" s="1"/>
  <c r="L189" i="5"/>
  <c r="L8" i="5" s="1"/>
  <c r="M8" i="5"/>
  <c r="N8" i="5"/>
  <c r="F196" i="5"/>
  <c r="F219" i="5" s="1"/>
  <c r="G196" i="5"/>
  <c r="G219" i="5" s="1"/>
  <c r="H196" i="5"/>
  <c r="H219" i="5" s="1"/>
  <c r="F214" i="5"/>
  <c r="F224" i="5" s="1"/>
  <c r="G214" i="5"/>
  <c r="G224" i="5" s="1"/>
  <c r="H214" i="5"/>
  <c r="H224" i="5" s="1"/>
  <c r="N5" i="5"/>
  <c r="N5" i="6" s="1"/>
  <c r="F8" i="5"/>
  <c r="G8" i="5"/>
  <c r="H8" i="5"/>
  <c r="F236" i="5"/>
  <c r="G236" i="5"/>
  <c r="H236" i="5"/>
  <c r="F237" i="5"/>
  <c r="G237" i="5"/>
  <c r="H237" i="5"/>
  <c r="K242" i="5"/>
  <c r="L242" i="5"/>
  <c r="M242" i="5"/>
  <c r="K244" i="5"/>
  <c r="L244" i="5"/>
  <c r="M244" i="5"/>
  <c r="K245" i="5"/>
  <c r="L245" i="5"/>
  <c r="M245" i="5"/>
  <c r="I291" i="5"/>
  <c r="J290" i="5"/>
  <c r="K290" i="5" s="1"/>
  <c r="L290" i="5" s="1"/>
  <c r="M290" i="5" s="1"/>
  <c r="G305" i="5"/>
  <c r="J296" i="5"/>
  <c r="K296" i="5" s="1"/>
  <c r="L296" i="5" s="1"/>
  <c r="M296" i="5" s="1"/>
  <c r="I297" i="5"/>
  <c r="I302" i="5"/>
  <c r="J303" i="5" s="1"/>
  <c r="K304" i="5" s="1"/>
  <c r="L305" i="5" s="1"/>
  <c r="I303" i="5"/>
  <c r="J304" i="5" s="1"/>
  <c r="K305" i="5" s="1"/>
  <c r="I304" i="5"/>
  <c r="J305" i="5" s="1"/>
  <c r="I305" i="5"/>
  <c r="H349" i="5"/>
  <c r="I346" i="5" s="1"/>
  <c r="H384" i="5"/>
  <c r="I381" i="5" s="1"/>
  <c r="B19" i="4"/>
  <c r="B27" i="4"/>
  <c r="N242" i="5"/>
  <c r="N244" i="5"/>
  <c r="N245" i="5"/>
  <c r="I43" i="4"/>
  <c r="L43" i="4" s="1"/>
  <c r="J43" i="4"/>
  <c r="I44" i="4"/>
  <c r="L44" i="4" s="1"/>
  <c r="J44" i="4"/>
  <c r="I45" i="4"/>
  <c r="J45" i="4"/>
  <c r="I46" i="4"/>
  <c r="L46" i="4" s="1"/>
  <c r="J46" i="4"/>
  <c r="I47" i="4"/>
  <c r="L47" i="4" s="1"/>
  <c r="J47" i="4"/>
  <c r="H49" i="4"/>
  <c r="K49" i="4"/>
  <c r="H50" i="4"/>
  <c r="K50" i="4"/>
  <c r="F66" i="4"/>
  <c r="L66" i="4"/>
  <c r="L72" i="4" s="1"/>
  <c r="D67" i="4"/>
  <c r="E66" i="4" s="1"/>
  <c r="K72" i="4"/>
  <c r="F106" i="4"/>
  <c r="I141" i="5" s="1"/>
  <c r="M15" i="2"/>
  <c r="F108" i="4"/>
  <c r="M16" i="2" s="1"/>
  <c r="I213" i="5" l="1"/>
  <c r="I211" i="5"/>
  <c r="B142" i="5" a="1"/>
  <c r="B142" i="5" s="1"/>
  <c r="B473" i="5" s="1"/>
  <c r="J141" i="5"/>
  <c r="I472" i="5"/>
  <c r="I87" i="5"/>
  <c r="I443" i="5"/>
  <c r="H141" i="5"/>
  <c r="G243" i="5"/>
  <c r="H242" i="5"/>
  <c r="H243" i="5"/>
  <c r="F242" i="5"/>
  <c r="F243" i="5"/>
  <c r="H244" i="5"/>
  <c r="F163" i="5"/>
  <c r="F174" i="5" s="1"/>
  <c r="F176" i="5" s="1"/>
  <c r="G176" i="5"/>
  <c r="G82" i="4"/>
  <c r="H82" i="4" s="1"/>
  <c r="I82" i="4" s="1"/>
  <c r="J82" i="4" s="1"/>
  <c r="K82" i="4" s="1"/>
  <c r="M236" i="5"/>
  <c r="E65" i="4"/>
  <c r="E67" i="4" s="1"/>
  <c r="D364" i="5"/>
  <c r="J161" i="5"/>
  <c r="G188" i="5"/>
  <c r="G208" i="5" s="1"/>
  <c r="G301" i="5"/>
  <c r="G302" i="5"/>
  <c r="F262" i="5"/>
  <c r="G245" i="5"/>
  <c r="J50" i="4"/>
  <c r="L153" i="5"/>
  <c r="H163" i="5"/>
  <c r="H174" i="5" s="1"/>
  <c r="H245" i="5"/>
  <c r="G244" i="5"/>
  <c r="I194" i="5"/>
  <c r="J194" i="5" s="1"/>
  <c r="K194" i="5" s="1"/>
  <c r="L194" i="5" s="1"/>
  <c r="M194" i="5" s="1"/>
  <c r="N194" i="5" s="1"/>
  <c r="I193" i="5"/>
  <c r="J193" i="5" s="1"/>
  <c r="K193" i="5" s="1"/>
  <c r="G5" i="4"/>
  <c r="H5" i="4" s="1"/>
  <c r="K106" i="4" s="1"/>
  <c r="G262" i="5"/>
  <c r="G242" i="5"/>
  <c r="N236" i="5"/>
  <c r="N161" i="5"/>
  <c r="J213" i="5"/>
  <c r="K213" i="5" s="1"/>
  <c r="L213" i="5" s="1"/>
  <c r="M213" i="5" s="1"/>
  <c r="N213" i="5" s="1"/>
  <c r="J49" i="4"/>
  <c r="I212" i="5"/>
  <c r="J212" i="5" s="1"/>
  <c r="J211" i="5"/>
  <c r="K211" i="5" s="1"/>
  <c r="L211" i="5" s="1"/>
  <c r="M211" i="5" s="1"/>
  <c r="D407" i="5"/>
  <c r="B20" i="4"/>
  <c r="B26" i="4"/>
  <c r="J17" i="4" a="1"/>
  <c r="J17" i="4" s="1"/>
  <c r="L168" i="5" s="1"/>
  <c r="H17" i="4" a="1"/>
  <c r="H17" i="4" s="1"/>
  <c r="J168" i="5" s="1"/>
  <c r="L17" i="4" a="1"/>
  <c r="L17" i="4" s="1"/>
  <c r="N168" i="5" s="1"/>
  <c r="K17" i="4" a="1"/>
  <c r="K17" i="4" s="1"/>
  <c r="M168" i="5" s="1"/>
  <c r="I17" i="4" a="1"/>
  <c r="I17" i="4" s="1"/>
  <c r="K168" i="5" s="1"/>
  <c r="G17" i="4" a="1"/>
  <c r="G17" i="4" s="1"/>
  <c r="I168" i="5" s="1"/>
  <c r="I169" i="5" s="1"/>
  <c r="L24" i="4" a="1"/>
  <c r="L24" i="4" s="1"/>
  <c r="K24" i="4" a="1"/>
  <c r="K24" i="4" s="1"/>
  <c r="M19" i="6" s="1"/>
  <c r="M29" i="6" s="1"/>
  <c r="L10" i="4" a="1"/>
  <c r="L10" i="4" s="1"/>
  <c r="N150" i="5" s="1"/>
  <c r="K10" i="4" a="1"/>
  <c r="K10" i="4" s="1"/>
  <c r="M150" i="5" s="1"/>
  <c r="J24" i="4" a="1"/>
  <c r="J24" i="4" s="1"/>
  <c r="L19" i="6" s="1"/>
  <c r="L29" i="6" s="1"/>
  <c r="J10" i="4" a="1"/>
  <c r="J10" i="4" s="1"/>
  <c r="L150" i="5" s="1"/>
  <c r="I24" i="4" a="1"/>
  <c r="I24" i="4" s="1"/>
  <c r="K19" i="6" s="1"/>
  <c r="K29" i="6" s="1"/>
  <c r="I10" i="4" a="1"/>
  <c r="I10" i="4" s="1"/>
  <c r="K150" i="5" s="1"/>
  <c r="H24" i="4" a="1"/>
  <c r="H24" i="4" s="1"/>
  <c r="J19" i="6" s="1"/>
  <c r="J29" i="6" s="1"/>
  <c r="G24" i="4" a="1"/>
  <c r="G24" i="4" s="1"/>
  <c r="I19" i="6" s="1"/>
  <c r="I29" i="6" s="1"/>
  <c r="H10" i="4" a="1"/>
  <c r="H10" i="4" s="1"/>
  <c r="J150" i="5" s="1"/>
  <c r="G10" i="4" a="1"/>
  <c r="G10" i="4" s="1"/>
  <c r="I150" i="5" s="1"/>
  <c r="I49" i="4"/>
  <c r="L45" i="4"/>
  <c r="K73" i="4"/>
  <c r="F69" i="4"/>
  <c r="F67" i="4"/>
  <c r="B21" i="4"/>
  <c r="B28" i="4"/>
  <c r="H426" i="5"/>
  <c r="I423" i="5" s="1"/>
  <c r="G304" i="5"/>
  <c r="G303" i="5"/>
  <c r="F245" i="5"/>
  <c r="F244" i="5"/>
  <c r="I317" i="5"/>
  <c r="J291" i="5"/>
  <c r="K291" i="5" s="1"/>
  <c r="K317" i="5" s="1"/>
  <c r="J297" i="5"/>
  <c r="I301" i="5"/>
  <c r="J302" i="5" s="1"/>
  <c r="K303" i="5" s="1"/>
  <c r="L304" i="5" s="1"/>
  <c r="M305" i="5" s="1"/>
  <c r="I50" i="4"/>
  <c r="H342" i="5"/>
  <c r="I339" i="5" s="1"/>
  <c r="K153" i="5"/>
  <c r="J153" i="5"/>
  <c r="I8" i="5"/>
  <c r="I195" i="5"/>
  <c r="L49" i="4" l="1"/>
  <c r="F56" i="4" s="1"/>
  <c r="F57" i="4" s="1"/>
  <c r="F58" i="4" s="1"/>
  <c r="L56" i="4" s="1"/>
  <c r="L58" i="4" s="1"/>
  <c r="L73" i="4" s="1"/>
  <c r="N211" i="5"/>
  <c r="N22" i="5"/>
  <c r="N26" i="6" s="1"/>
  <c r="N19" i="6"/>
  <c r="N29" i="6" s="1"/>
  <c r="I18" i="5"/>
  <c r="J18" i="5" s="1"/>
  <c r="K18" i="5" s="1"/>
  <c r="L18" i="5" s="1"/>
  <c r="M18" i="5" s="1"/>
  <c r="N18" i="5" s="1"/>
  <c r="I255" i="5"/>
  <c r="I272" i="5" s="1"/>
  <c r="I55" i="5" s="1"/>
  <c r="I254" i="5"/>
  <c r="I271" i="5" s="1"/>
  <c r="I54" i="5" s="1"/>
  <c r="I252" i="5"/>
  <c r="I269" i="5" s="1"/>
  <c r="I52" i="5" s="1"/>
  <c r="I253" i="5"/>
  <c r="I270" i="5" s="1"/>
  <c r="I53" i="5" s="1"/>
  <c r="B444" i="5"/>
  <c r="B88" i="5"/>
  <c r="H443" i="5"/>
  <c r="H472" i="5"/>
  <c r="G141" i="5"/>
  <c r="H87" i="5"/>
  <c r="K141" i="5"/>
  <c r="J472" i="5"/>
  <c r="J443" i="5"/>
  <c r="J87" i="5"/>
  <c r="B42" i="5"/>
  <c r="I233" i="5"/>
  <c r="I41" i="5"/>
  <c r="B402" i="5"/>
  <c r="I286" i="5"/>
  <c r="I332" i="5" s="1"/>
  <c r="M286" i="5"/>
  <c r="M332" i="5" s="1"/>
  <c r="M64" i="5" s="1"/>
  <c r="M66" i="5" s="1"/>
  <c r="I401" i="5"/>
  <c r="I185" i="5"/>
  <c r="I358" i="5"/>
  <c r="I5" i="5"/>
  <c r="J236" i="5"/>
  <c r="F188" i="5"/>
  <c r="F208" i="5" s="1"/>
  <c r="H188" i="5"/>
  <c r="H200" i="5" s="1"/>
  <c r="H176" i="5"/>
  <c r="G207" i="5"/>
  <c r="I152" i="5"/>
  <c r="G198" i="5"/>
  <c r="G199" i="5"/>
  <c r="G200" i="5"/>
  <c r="G206" i="5"/>
  <c r="I329" i="5"/>
  <c r="I283" i="5"/>
  <c r="F301" i="5" s="1"/>
  <c r="F309" i="5" s="1"/>
  <c r="K110" i="4"/>
  <c r="I5" i="4"/>
  <c r="J5" i="4" s="1"/>
  <c r="K5" i="4" s="1"/>
  <c r="E69" i="4"/>
  <c r="J317" i="5"/>
  <c r="B330" i="5"/>
  <c r="B359" i="5"/>
  <c r="B186" i="5"/>
  <c r="B284" i="5"/>
  <c r="B234" i="5"/>
  <c r="B6" i="5"/>
  <c r="I196" i="5"/>
  <c r="I219" i="5" s="1"/>
  <c r="H102" i="4"/>
  <c r="I214" i="5"/>
  <c r="I224" i="5" s="1"/>
  <c r="L291" i="5"/>
  <c r="L317" i="5" s="1"/>
  <c r="J169" i="5"/>
  <c r="J175" i="5" s="1"/>
  <c r="L286" i="5"/>
  <c r="L332" i="5" s="1"/>
  <c r="L64" i="5" s="1"/>
  <c r="I175" i="5"/>
  <c r="J286" i="5"/>
  <c r="J332" i="5" s="1"/>
  <c r="J64" i="5" s="1"/>
  <c r="K286" i="5"/>
  <c r="K332" i="5" s="1"/>
  <c r="K64" i="5" s="1"/>
  <c r="K212" i="5"/>
  <c r="J214" i="5"/>
  <c r="J224" i="5" s="1"/>
  <c r="L193" i="5"/>
  <c r="M193" i="5" s="1"/>
  <c r="L50" i="4"/>
  <c r="J195" i="5"/>
  <c r="L161" i="5"/>
  <c r="L236" i="5"/>
  <c r="I236" i="5"/>
  <c r="I161" i="5"/>
  <c r="K297" i="5"/>
  <c r="J301" i="5"/>
  <c r="K302" i="5" s="1"/>
  <c r="L303" i="5" s="1"/>
  <c r="M304" i="5" s="1"/>
  <c r="K236" i="5"/>
  <c r="K161" i="5"/>
  <c r="F199" i="5" l="1"/>
  <c r="H207" i="5"/>
  <c r="I508" i="5"/>
  <c r="I5" i="6"/>
  <c r="L76" i="4"/>
  <c r="N193" i="5"/>
  <c r="B509" i="5"/>
  <c r="B6" i="6"/>
  <c r="B45" i="6" s="1"/>
  <c r="B92" i="6" s="1"/>
  <c r="I118" i="5"/>
  <c r="J255" i="5"/>
  <c r="J272" i="5" s="1"/>
  <c r="J55" i="5" s="1"/>
  <c r="J254" i="5"/>
  <c r="J271" i="5" s="1"/>
  <c r="J54" i="5" s="1"/>
  <c r="I113" i="5"/>
  <c r="I97" i="5"/>
  <c r="J252" i="5"/>
  <c r="J269" i="5" s="1"/>
  <c r="J52" i="5" s="1"/>
  <c r="J253" i="5"/>
  <c r="J270" i="5" s="1"/>
  <c r="J53" i="5" s="1"/>
  <c r="I102" i="5"/>
  <c r="I64" i="5"/>
  <c r="I66" i="5" s="1"/>
  <c r="I340" i="5"/>
  <c r="I347" i="5" s="1"/>
  <c r="F141" i="5"/>
  <c r="F87" i="5" s="1"/>
  <c r="G87" i="5"/>
  <c r="L141" i="5"/>
  <c r="K472" i="5"/>
  <c r="K443" i="5"/>
  <c r="K87" i="5"/>
  <c r="L340" i="5"/>
  <c r="L347" i="5" s="1"/>
  <c r="L66" i="5"/>
  <c r="L480" i="5" s="1"/>
  <c r="M340" i="5"/>
  <c r="M347" i="5" s="1"/>
  <c r="M480" i="5"/>
  <c r="J340" i="5"/>
  <c r="J347" i="5" s="1"/>
  <c r="J66" i="5"/>
  <c r="J480" i="5" s="1"/>
  <c r="K340" i="5"/>
  <c r="K347" i="5" s="1"/>
  <c r="K66" i="5"/>
  <c r="K480" i="5" s="1"/>
  <c r="J358" i="5"/>
  <c r="J41" i="5"/>
  <c r="H5" i="5"/>
  <c r="H508" i="5" s="1"/>
  <c r="H41" i="5"/>
  <c r="H358" i="5"/>
  <c r="H401" i="5"/>
  <c r="H283" i="5"/>
  <c r="B291" i="5" s="1"/>
  <c r="H185" i="5"/>
  <c r="H233" i="5"/>
  <c r="H329" i="5"/>
  <c r="F302" i="5"/>
  <c r="F310" i="5" s="1"/>
  <c r="F198" i="5"/>
  <c r="F200" i="5"/>
  <c r="J401" i="5"/>
  <c r="J329" i="5"/>
  <c r="J185" i="5"/>
  <c r="J283" i="5"/>
  <c r="J308" i="5" s="1"/>
  <c r="J5" i="5"/>
  <c r="F206" i="5"/>
  <c r="F207" i="5"/>
  <c r="H206" i="5"/>
  <c r="J233" i="5"/>
  <c r="H198" i="5"/>
  <c r="H199" i="5"/>
  <c r="H208" i="5"/>
  <c r="G209" i="5"/>
  <c r="G220" i="5" s="1"/>
  <c r="G221" i="5" s="1"/>
  <c r="G201" i="5"/>
  <c r="G223" i="5" s="1"/>
  <c r="G225" i="5" s="1"/>
  <c r="I162" i="5"/>
  <c r="I163" i="5" s="1"/>
  <c r="I174" i="5" s="1"/>
  <c r="I176" i="5" s="1"/>
  <c r="J152" i="5"/>
  <c r="K152" i="5" s="1"/>
  <c r="L152" i="5" s="1"/>
  <c r="I154" i="5"/>
  <c r="I179" i="5" s="1"/>
  <c r="I308" i="5"/>
  <c r="I300" i="5"/>
  <c r="K169" i="5"/>
  <c r="K175" i="5" s="1"/>
  <c r="M291" i="5"/>
  <c r="M317" i="5" s="1"/>
  <c r="L212" i="5"/>
  <c r="M212" i="5" s="1"/>
  <c r="M214" i="5" s="1"/>
  <c r="M224" i="5" s="1"/>
  <c r="K214" i="5"/>
  <c r="K224" i="5" s="1"/>
  <c r="L297" i="5"/>
  <c r="K301" i="5"/>
  <c r="L302" i="5" s="1"/>
  <c r="M303" i="5" s="1"/>
  <c r="K195" i="5"/>
  <c r="J196" i="5"/>
  <c r="J219" i="5" s="1"/>
  <c r="J508" i="5" l="1"/>
  <c r="J5" i="6"/>
  <c r="F15" i="7"/>
  <c r="C95" i="6"/>
  <c r="F118" i="4"/>
  <c r="F119" i="4" s="1"/>
  <c r="M17" i="2" s="1"/>
  <c r="C48" i="6"/>
  <c r="M152" i="5"/>
  <c r="M162" i="5" s="1"/>
  <c r="I13" i="5"/>
  <c r="K253" i="5"/>
  <c r="K270" i="5" s="1"/>
  <c r="K53" i="5" s="1"/>
  <c r="J102" i="5"/>
  <c r="K254" i="5"/>
  <c r="K271" i="5" s="1"/>
  <c r="K54" i="5" s="1"/>
  <c r="J113" i="5"/>
  <c r="K252" i="5"/>
  <c r="K269" i="5" s="1"/>
  <c r="K52" i="5" s="1"/>
  <c r="J97" i="5"/>
  <c r="K255" i="5"/>
  <c r="K272" i="5" s="1"/>
  <c r="K55" i="5" s="1"/>
  <c r="J118" i="5"/>
  <c r="I480" i="5"/>
  <c r="M141" i="5"/>
  <c r="L472" i="5"/>
  <c r="L443" i="5"/>
  <c r="L87" i="5"/>
  <c r="F303" i="5"/>
  <c r="F311" i="5" s="1"/>
  <c r="G233" i="5"/>
  <c r="G41" i="5"/>
  <c r="K41" i="5"/>
  <c r="G5" i="5"/>
  <c r="G283" i="5"/>
  <c r="G185" i="5"/>
  <c r="F201" i="5"/>
  <c r="F223" i="5" s="1"/>
  <c r="F225" i="5" s="1"/>
  <c r="H209" i="5"/>
  <c r="H220" i="5" s="1"/>
  <c r="H221" i="5" s="1"/>
  <c r="K358" i="5"/>
  <c r="J300" i="5"/>
  <c r="K5" i="5"/>
  <c r="K233" i="5"/>
  <c r="K329" i="5"/>
  <c r="K283" i="5"/>
  <c r="K308" i="5" s="1"/>
  <c r="F209" i="5"/>
  <c r="F220" i="5" s="1"/>
  <c r="F221" i="5" s="1"/>
  <c r="H201" i="5"/>
  <c r="H223" i="5" s="1"/>
  <c r="H225" i="5" s="1"/>
  <c r="K185" i="5"/>
  <c r="K401" i="5"/>
  <c r="J162" i="5"/>
  <c r="J163" i="5" s="1"/>
  <c r="J174" i="5" s="1"/>
  <c r="L154" i="5"/>
  <c r="L179" i="5" s="1"/>
  <c r="K154" i="5"/>
  <c r="K179" i="5" s="1"/>
  <c r="L162" i="5"/>
  <c r="L163" i="5" s="1"/>
  <c r="L174" i="5" s="1"/>
  <c r="J154" i="5"/>
  <c r="J179" i="5" s="1"/>
  <c r="K162" i="5"/>
  <c r="K163" i="5" s="1"/>
  <c r="K174" i="5" s="1"/>
  <c r="I188" i="5"/>
  <c r="I206" i="5" s="1"/>
  <c r="L169" i="5"/>
  <c r="M297" i="5"/>
  <c r="M301" i="5" s="1"/>
  <c r="L301" i="5"/>
  <c r="M302" i="5" s="1"/>
  <c r="L195" i="5"/>
  <c r="M195" i="5" s="1"/>
  <c r="K196" i="5"/>
  <c r="K219" i="5" s="1"/>
  <c r="L214" i="5"/>
  <c r="L224" i="5" s="1"/>
  <c r="K508" i="5" l="1"/>
  <c r="K5" i="6"/>
  <c r="K116" i="6"/>
  <c r="I116" i="6"/>
  <c r="J116" i="6"/>
  <c r="M116" i="6"/>
  <c r="L116" i="6"/>
  <c r="J69" i="6"/>
  <c r="I69" i="6"/>
  <c r="K69" i="6"/>
  <c r="L69" i="6"/>
  <c r="N195" i="5"/>
  <c r="N196" i="5" s="1"/>
  <c r="N219" i="5" s="1"/>
  <c r="M196" i="5"/>
  <c r="M219" i="5" s="1"/>
  <c r="L175" i="5"/>
  <c r="L176" i="5" s="1"/>
  <c r="L13" i="5" s="1"/>
  <c r="L20" i="5" s="1"/>
  <c r="M169" i="5"/>
  <c r="M154" i="5"/>
  <c r="M179" i="5" s="1"/>
  <c r="M163" i="5"/>
  <c r="M174" i="5" s="1"/>
  <c r="M188" i="5" s="1"/>
  <c r="M208" i="5" s="1"/>
  <c r="N152" i="5"/>
  <c r="I19" i="5"/>
  <c r="I20" i="5"/>
  <c r="I111" i="5"/>
  <c r="I57" i="5" s="1"/>
  <c r="L255" i="5"/>
  <c r="L272" i="5" s="1"/>
  <c r="L55" i="5" s="1"/>
  <c r="K118" i="5"/>
  <c r="L254" i="5"/>
  <c r="L271" i="5" s="1"/>
  <c r="L54" i="5" s="1"/>
  <c r="K113" i="5"/>
  <c r="L252" i="5"/>
  <c r="L269" i="5" s="1"/>
  <c r="L52" i="5" s="1"/>
  <c r="K97" i="5"/>
  <c r="L253" i="5"/>
  <c r="L270" i="5" s="1"/>
  <c r="L53" i="5" s="1"/>
  <c r="K102" i="5"/>
  <c r="M87" i="5"/>
  <c r="M472" i="5"/>
  <c r="M443" i="5"/>
  <c r="F304" i="5"/>
  <c r="F312" i="5" s="1"/>
  <c r="M41" i="5"/>
  <c r="L41" i="5"/>
  <c r="F233" i="5"/>
  <c r="F41" i="5"/>
  <c r="F5" i="5"/>
  <c r="F185" i="5"/>
  <c r="K300" i="5"/>
  <c r="F283" i="5"/>
  <c r="L358" i="5"/>
  <c r="L283" i="5"/>
  <c r="L308" i="5" s="1"/>
  <c r="L185" i="5"/>
  <c r="L233" i="5"/>
  <c r="L329" i="5"/>
  <c r="L401" i="5"/>
  <c r="L5" i="5"/>
  <c r="I237" i="5"/>
  <c r="L188" i="5"/>
  <c r="L206" i="5" s="1"/>
  <c r="K188" i="5"/>
  <c r="K207" i="5" s="1"/>
  <c r="K176" i="5"/>
  <c r="K13" i="5" s="1"/>
  <c r="J188" i="5"/>
  <c r="J207" i="5" s="1"/>
  <c r="J176" i="5"/>
  <c r="J13" i="5" s="1"/>
  <c r="J20" i="5" s="1"/>
  <c r="I208" i="5"/>
  <c r="I207" i="5"/>
  <c r="I200" i="5"/>
  <c r="I198" i="5"/>
  <c r="I199" i="5"/>
  <c r="M358" i="5"/>
  <c r="M185" i="5"/>
  <c r="M329" i="5"/>
  <c r="M283" i="5"/>
  <c r="M233" i="5"/>
  <c r="M5" i="5"/>
  <c r="M401" i="5"/>
  <c r="N212" i="5"/>
  <c r="N214" i="5" s="1"/>
  <c r="N224" i="5" s="1"/>
  <c r="L196" i="5"/>
  <c r="L219" i="5" s="1"/>
  <c r="L508" i="5" l="1"/>
  <c r="L5" i="6"/>
  <c r="M508" i="5"/>
  <c r="M5" i="6"/>
  <c r="M206" i="5"/>
  <c r="M207" i="5"/>
  <c r="M200" i="5"/>
  <c r="M198" i="5"/>
  <c r="M199" i="5"/>
  <c r="N169" i="5"/>
  <c r="N175" i="5" s="1"/>
  <c r="M175" i="5"/>
  <c r="M176" i="5" s="1"/>
  <c r="M13" i="5" s="1"/>
  <c r="M20" i="5" s="1"/>
  <c r="N154" i="5"/>
  <c r="N179" i="5" s="1"/>
  <c r="M18" i="2" s="1"/>
  <c r="N162" i="5"/>
  <c r="N163" i="5" s="1"/>
  <c r="N174" i="5" s="1"/>
  <c r="L102" i="5"/>
  <c r="M253" i="5"/>
  <c r="N253" i="5" s="1"/>
  <c r="N270" i="5" s="1"/>
  <c r="M254" i="5"/>
  <c r="N254" i="5" s="1"/>
  <c r="N271" i="5" s="1"/>
  <c r="L113" i="5"/>
  <c r="L97" i="5"/>
  <c r="M252" i="5"/>
  <c r="N252" i="5" s="1"/>
  <c r="N269" i="5" s="1"/>
  <c r="M255" i="5"/>
  <c r="N255" i="5" s="1"/>
  <c r="N272" i="5" s="1"/>
  <c r="L118" i="5"/>
  <c r="K111" i="5"/>
  <c r="K20" i="5"/>
  <c r="J111" i="5"/>
  <c r="L111" i="5"/>
  <c r="F305" i="5"/>
  <c r="F313" i="5" s="1"/>
  <c r="G313" i="5" s="1"/>
  <c r="H313" i="5" s="1"/>
  <c r="L300" i="5"/>
  <c r="G311" i="5"/>
  <c r="H311" i="5" s="1"/>
  <c r="K311" i="5" s="1"/>
  <c r="K19" i="5"/>
  <c r="J19" i="5"/>
  <c r="L19" i="5"/>
  <c r="I249" i="5"/>
  <c r="I250" i="5"/>
  <c r="I95" i="5" s="1"/>
  <c r="L237" i="5"/>
  <c r="K237" i="5"/>
  <c r="J237" i="5"/>
  <c r="K206" i="5"/>
  <c r="J206" i="5"/>
  <c r="L198" i="5"/>
  <c r="L207" i="5"/>
  <c r="L208" i="5"/>
  <c r="J198" i="5"/>
  <c r="J208" i="5"/>
  <c r="L200" i="5"/>
  <c r="J199" i="5"/>
  <c r="L199" i="5"/>
  <c r="K199" i="5"/>
  <c r="K200" i="5"/>
  <c r="K208" i="5"/>
  <c r="K198" i="5"/>
  <c r="J200" i="5"/>
  <c r="I209" i="5"/>
  <c r="I220" i="5" s="1"/>
  <c r="I221" i="5" s="1"/>
  <c r="I201" i="5"/>
  <c r="I223" i="5" s="1"/>
  <c r="I225" i="5" s="1"/>
  <c r="G310" i="5"/>
  <c r="H310" i="5" s="1"/>
  <c r="J310" i="5" s="1"/>
  <c r="G309" i="5"/>
  <c r="M300" i="5"/>
  <c r="M308" i="5"/>
  <c r="G312" i="5"/>
  <c r="H312" i="5" s="1"/>
  <c r="M209" i="5" l="1"/>
  <c r="M220" i="5" s="1"/>
  <c r="M221" i="5" s="1"/>
  <c r="M201" i="5"/>
  <c r="M223" i="5" s="1"/>
  <c r="M225" i="5" s="1"/>
  <c r="N176" i="5"/>
  <c r="N188" i="5"/>
  <c r="N208" i="5" s="1"/>
  <c r="M19" i="5"/>
  <c r="I14" i="5"/>
  <c r="I238" i="5" s="1"/>
  <c r="L57" i="5"/>
  <c r="J57" i="5"/>
  <c r="K57" i="5"/>
  <c r="M118" i="5"/>
  <c r="M272" i="5"/>
  <c r="M55" i="5" s="1"/>
  <c r="M113" i="5"/>
  <c r="M271" i="5"/>
  <c r="M54" i="5" s="1"/>
  <c r="M97" i="5"/>
  <c r="M269" i="5"/>
  <c r="M52" i="5" s="1"/>
  <c r="M102" i="5"/>
  <c r="M270" i="5"/>
  <c r="M53" i="5" s="1"/>
  <c r="M111" i="5"/>
  <c r="M57" i="5" s="1"/>
  <c r="I267" i="5"/>
  <c r="I50" i="5" s="1"/>
  <c r="I266" i="5"/>
  <c r="I94" i="5"/>
  <c r="I311" i="5"/>
  <c r="M311" i="5"/>
  <c r="L311" i="5"/>
  <c r="J311" i="5"/>
  <c r="H309" i="5"/>
  <c r="L309" i="5" s="1"/>
  <c r="K249" i="5"/>
  <c r="K250" i="5"/>
  <c r="K95" i="5" s="1"/>
  <c r="L249" i="5"/>
  <c r="L250" i="5"/>
  <c r="L95" i="5" s="1"/>
  <c r="J249" i="5"/>
  <c r="J250" i="5"/>
  <c r="J95" i="5" s="1"/>
  <c r="M237" i="5"/>
  <c r="K209" i="5"/>
  <c r="K220" i="5" s="1"/>
  <c r="K221" i="5" s="1"/>
  <c r="J209" i="5"/>
  <c r="J220" i="5" s="1"/>
  <c r="J221" i="5" s="1"/>
  <c r="L209" i="5"/>
  <c r="L220" i="5" s="1"/>
  <c r="L221" i="5" s="1"/>
  <c r="K201" i="5"/>
  <c r="K223" i="5" s="1"/>
  <c r="K225" i="5" s="1"/>
  <c r="K14" i="5" s="1"/>
  <c r="J201" i="5"/>
  <c r="J223" i="5" s="1"/>
  <c r="J225" i="5" s="1"/>
  <c r="J14" i="5" s="1"/>
  <c r="L201" i="5"/>
  <c r="L223" i="5" s="1"/>
  <c r="L225" i="5" s="1"/>
  <c r="L14" i="5" s="1"/>
  <c r="M310" i="5"/>
  <c r="L310" i="5"/>
  <c r="I310" i="5"/>
  <c r="K310" i="5"/>
  <c r="M312" i="5"/>
  <c r="K312" i="5"/>
  <c r="L312" i="5"/>
  <c r="I312" i="5"/>
  <c r="J312" i="5"/>
  <c r="J313" i="5"/>
  <c r="I313" i="5"/>
  <c r="K313" i="5"/>
  <c r="L313" i="5"/>
  <c r="M313" i="5"/>
  <c r="N206" i="5" l="1"/>
  <c r="N207" i="5"/>
  <c r="N200" i="5"/>
  <c r="N198" i="5"/>
  <c r="N199" i="5"/>
  <c r="M14" i="5"/>
  <c r="M238" i="5" s="1"/>
  <c r="M251" i="5" s="1"/>
  <c r="N13" i="5"/>
  <c r="N19" i="5" s="1"/>
  <c r="I256" i="5"/>
  <c r="I273" i="5" s="1"/>
  <c r="I56" i="5" s="1"/>
  <c r="I515" i="5"/>
  <c r="I58" i="5" s="1"/>
  <c r="I15" i="5"/>
  <c r="I23" i="5" s="1"/>
  <c r="I49" i="5"/>
  <c r="L94" i="5"/>
  <c r="J94" i="5"/>
  <c r="K94" i="5"/>
  <c r="L238" i="5"/>
  <c r="L251" i="5" s="1"/>
  <c r="L96" i="5" s="1"/>
  <c r="L515" i="5"/>
  <c r="L58" i="5" s="1"/>
  <c r="K238" i="5"/>
  <c r="K256" i="5" s="1"/>
  <c r="K261" i="5" s="1"/>
  <c r="K515" i="5"/>
  <c r="K58" i="5" s="1"/>
  <c r="J238" i="5"/>
  <c r="J251" i="5" s="1"/>
  <c r="J96" i="5" s="1"/>
  <c r="J515" i="5"/>
  <c r="J58" i="5" s="1"/>
  <c r="I251" i="5"/>
  <c r="I260" i="5" s="1"/>
  <c r="J267" i="5"/>
  <c r="J50" i="5" s="1"/>
  <c r="K266" i="5"/>
  <c r="K49" i="5" s="1"/>
  <c r="L266" i="5"/>
  <c r="L49" i="5" s="1"/>
  <c r="J266" i="5"/>
  <c r="J49" i="5" s="1"/>
  <c r="K267" i="5"/>
  <c r="K50" i="5" s="1"/>
  <c r="L267" i="5"/>
  <c r="L50" i="5" s="1"/>
  <c r="I309" i="5"/>
  <c r="K309" i="5"/>
  <c r="K318" i="5" s="1"/>
  <c r="K319" i="5" s="1"/>
  <c r="K22" i="5" s="1"/>
  <c r="M309" i="5"/>
  <c r="M318" i="5" s="1"/>
  <c r="M319" i="5" s="1"/>
  <c r="M22" i="5" s="1"/>
  <c r="M26" i="6" s="1"/>
  <c r="J309" i="5"/>
  <c r="J318" i="5" s="1"/>
  <c r="J319" i="5" s="1"/>
  <c r="J22" i="5" s="1"/>
  <c r="M249" i="5"/>
  <c r="M250" i="5"/>
  <c r="L15" i="5"/>
  <c r="L23" i="5" s="1"/>
  <c r="K15" i="5"/>
  <c r="K23" i="5" s="1"/>
  <c r="J15" i="5"/>
  <c r="J23" i="5" s="1"/>
  <c r="J17" i="6" s="1"/>
  <c r="L318" i="5"/>
  <c r="L319" i="5" s="1"/>
  <c r="L22" i="5" s="1"/>
  <c r="K17" i="6" l="1"/>
  <c r="L17" i="6"/>
  <c r="J48" i="5"/>
  <c r="J26" i="6"/>
  <c r="M96" i="5"/>
  <c r="L48" i="5"/>
  <c r="L26" i="6"/>
  <c r="M95" i="5"/>
  <c r="K48" i="5"/>
  <c r="K26" i="6"/>
  <c r="N209" i="5"/>
  <c r="N201" i="5"/>
  <c r="N237" i="5"/>
  <c r="M15" i="5"/>
  <c r="M23" i="5" s="1"/>
  <c r="M17" i="6" s="1"/>
  <c r="M515" i="5"/>
  <c r="M58" i="5" s="1"/>
  <c r="N20" i="5"/>
  <c r="I261" i="5"/>
  <c r="I517" i="5"/>
  <c r="J514" i="5" s="1"/>
  <c r="J517" i="5" s="1"/>
  <c r="M260" i="5"/>
  <c r="J260" i="5"/>
  <c r="M94" i="5"/>
  <c r="L260" i="5"/>
  <c r="I96" i="5"/>
  <c r="M256" i="5"/>
  <c r="K109" i="5"/>
  <c r="I109" i="5"/>
  <c r="M268" i="5"/>
  <c r="M51" i="5" s="1"/>
  <c r="M267" i="5"/>
  <c r="M50" i="5" s="1"/>
  <c r="J268" i="5"/>
  <c r="J51" i="5" s="1"/>
  <c r="I268" i="5"/>
  <c r="I51" i="5" s="1"/>
  <c r="M266" i="5"/>
  <c r="M49" i="5" s="1"/>
  <c r="M341" i="5"/>
  <c r="M48" i="5"/>
  <c r="I318" i="5"/>
  <c r="I319" i="5" s="1"/>
  <c r="I22" i="5" s="1"/>
  <c r="I26" i="6" s="1"/>
  <c r="J256" i="5"/>
  <c r="J261" i="5" s="1"/>
  <c r="K251" i="5"/>
  <c r="L256" i="5"/>
  <c r="L261" i="5" s="1"/>
  <c r="K341" i="5"/>
  <c r="L341" i="5"/>
  <c r="J341" i="5"/>
  <c r="I17" i="6" l="1"/>
  <c r="M261" i="5"/>
  <c r="M262" i="5" s="1"/>
  <c r="N250" i="5"/>
  <c r="N267" i="5" s="1"/>
  <c r="N249" i="5"/>
  <c r="N266" i="5" s="1"/>
  <c r="N223" i="5"/>
  <c r="N220" i="5"/>
  <c r="N221" i="5" s="1"/>
  <c r="I124" i="5"/>
  <c r="I274" i="5"/>
  <c r="I20" i="6" s="1"/>
  <c r="I30" i="6" s="1"/>
  <c r="M109" i="5"/>
  <c r="L273" i="5"/>
  <c r="L56" i="5" s="1"/>
  <c r="K96" i="5"/>
  <c r="K260" i="5"/>
  <c r="K262" i="5" s="1"/>
  <c r="K514" i="5"/>
  <c r="K517" i="5" s="1"/>
  <c r="J124" i="5"/>
  <c r="J109" i="5"/>
  <c r="K273" i="5"/>
  <c r="K56" i="5" s="1"/>
  <c r="L109" i="5"/>
  <c r="M273" i="5"/>
  <c r="J273" i="5"/>
  <c r="I262" i="5"/>
  <c r="J371" i="5"/>
  <c r="J372" i="5" s="1"/>
  <c r="J348" i="5"/>
  <c r="L413" i="5"/>
  <c r="L414" i="5" s="1"/>
  <c r="L348" i="5"/>
  <c r="K413" i="5"/>
  <c r="K414" i="5" s="1"/>
  <c r="K348" i="5"/>
  <c r="M371" i="5"/>
  <c r="M372" i="5" s="1"/>
  <c r="M348" i="5"/>
  <c r="I48" i="5"/>
  <c r="I341" i="5"/>
  <c r="L268" i="5"/>
  <c r="L51" i="5" s="1"/>
  <c r="K268" i="5"/>
  <c r="K51" i="5" s="1"/>
  <c r="L262" i="5"/>
  <c r="J262" i="5"/>
  <c r="M413" i="5"/>
  <c r="M414" i="5" s="1"/>
  <c r="L371" i="5"/>
  <c r="L372" i="5" s="1"/>
  <c r="K371" i="5"/>
  <c r="K372" i="5" s="1"/>
  <c r="J413" i="5"/>
  <c r="J414" i="5" s="1"/>
  <c r="N225" i="5" l="1"/>
  <c r="N14" i="5" s="1"/>
  <c r="I348" i="5"/>
  <c r="I349" i="5" s="1"/>
  <c r="J346" i="5" s="1"/>
  <c r="J349" i="5" s="1"/>
  <c r="K346" i="5" s="1"/>
  <c r="K349" i="5" s="1"/>
  <c r="L346" i="5" s="1"/>
  <c r="L349" i="5" s="1"/>
  <c r="M346" i="5" s="1"/>
  <c r="M349" i="5" s="1"/>
  <c r="I371" i="5"/>
  <c r="I372" i="5" s="1"/>
  <c r="L514" i="5"/>
  <c r="L517" i="5" s="1"/>
  <c r="K124" i="5"/>
  <c r="I413" i="5"/>
  <c r="I414" i="5" s="1"/>
  <c r="J274" i="5"/>
  <c r="J20" i="6" s="1"/>
  <c r="J30" i="6" s="1"/>
  <c r="J56" i="5"/>
  <c r="M274" i="5"/>
  <c r="M20" i="6" s="1"/>
  <c r="M30" i="6" s="1"/>
  <c r="M56" i="5"/>
  <c r="L274" i="5"/>
  <c r="L20" i="6" s="1"/>
  <c r="L30" i="6" s="1"/>
  <c r="K274" i="5"/>
  <c r="K20" i="6" s="1"/>
  <c r="K30" i="6" s="1"/>
  <c r="I342" i="5"/>
  <c r="L404" i="5"/>
  <c r="L412" i="5" s="1"/>
  <c r="L415" i="5" s="1"/>
  <c r="M404" i="5"/>
  <c r="M412" i="5" s="1"/>
  <c r="M415" i="5" s="1"/>
  <c r="M405" i="5" s="1"/>
  <c r="J404" i="5"/>
  <c r="J412" i="5" s="1"/>
  <c r="J415" i="5" s="1"/>
  <c r="K404" i="5"/>
  <c r="K412" i="5" s="1"/>
  <c r="K424" i="5" s="1"/>
  <c r="N238" i="5" l="1"/>
  <c r="N15" i="5"/>
  <c r="N23" i="5" s="1"/>
  <c r="M514" i="5"/>
  <c r="M517" i="5" s="1"/>
  <c r="M124" i="5" s="1"/>
  <c r="L124" i="5"/>
  <c r="J339" i="5"/>
  <c r="J342" i="5" s="1"/>
  <c r="I101" i="5"/>
  <c r="I404" i="5"/>
  <c r="I412" i="5" s="1"/>
  <c r="L424" i="5"/>
  <c r="L433" i="5"/>
  <c r="M418" i="5"/>
  <c r="M424" i="5"/>
  <c r="J433" i="5"/>
  <c r="J424" i="5"/>
  <c r="M433" i="5"/>
  <c r="K433" i="5"/>
  <c r="K415" i="5"/>
  <c r="K405" i="5" s="1"/>
  <c r="L405" i="5"/>
  <c r="L418" i="5"/>
  <c r="J405" i="5"/>
  <c r="J418" i="5"/>
  <c r="N17" i="6" l="1"/>
  <c r="N98" i="6" s="1"/>
  <c r="G9" i="6"/>
  <c r="N9" i="6" s="1"/>
  <c r="N18" i="6" s="1"/>
  <c r="N251" i="5"/>
  <c r="N256" i="5"/>
  <c r="K339" i="5"/>
  <c r="K342" i="5" s="1"/>
  <c r="J101" i="5"/>
  <c r="I415" i="5"/>
  <c r="I433" i="5"/>
  <c r="I424" i="5"/>
  <c r="K418" i="5"/>
  <c r="N102" i="6" l="1"/>
  <c r="N109" i="6" s="1"/>
  <c r="N116" i="6" s="1"/>
  <c r="M122" i="6" s="1"/>
  <c r="K35" i="7"/>
  <c r="K31" i="7"/>
  <c r="K34" i="7"/>
  <c r="K30" i="7"/>
  <c r="K33" i="7"/>
  <c r="K32" i="7"/>
  <c r="N261" i="5"/>
  <c r="N273" i="5"/>
  <c r="N260" i="5"/>
  <c r="N268" i="5"/>
  <c r="L339" i="5"/>
  <c r="L342" i="5" s="1"/>
  <c r="K101" i="5"/>
  <c r="I418" i="5"/>
  <c r="I405" i="5"/>
  <c r="N274" i="5" l="1"/>
  <c r="N20" i="6" s="1"/>
  <c r="N30" i="6" s="1"/>
  <c r="N262" i="5"/>
  <c r="M339" i="5"/>
  <c r="M342" i="5" s="1"/>
  <c r="M101" i="5" s="1"/>
  <c r="L101" i="5"/>
  <c r="I425" i="5"/>
  <c r="I419" i="5" s="1"/>
  <c r="I420" i="5" s="1"/>
  <c r="I431" i="5" s="1"/>
  <c r="N21" i="6" l="1"/>
  <c r="D35" i="7" s="1"/>
  <c r="I432" i="5"/>
  <c r="I9" i="6"/>
  <c r="I18" i="6" s="1"/>
  <c r="I21" i="6" s="1"/>
  <c r="D30" i="7" s="1"/>
  <c r="I426" i="5"/>
  <c r="J423" i="5" s="1"/>
  <c r="J425" i="5" s="1"/>
  <c r="J419" i="5" s="1"/>
  <c r="J420" i="5" s="1"/>
  <c r="J431" i="5" s="1"/>
  <c r="J9" i="6" s="1"/>
  <c r="J18" i="6" s="1"/>
  <c r="J21" i="6" s="1"/>
  <c r="D31" i="7" s="1"/>
  <c r="J432" i="5" l="1"/>
  <c r="J426" i="5"/>
  <c r="K423" i="5" s="1"/>
  <c r="K425" i="5" s="1"/>
  <c r="K419" i="5" s="1"/>
  <c r="K420" i="5" s="1"/>
  <c r="K431" i="5" s="1"/>
  <c r="K9" i="6" s="1"/>
  <c r="K18" i="6" s="1"/>
  <c r="K21" i="6" s="1"/>
  <c r="D32" i="7" s="1"/>
  <c r="K426" i="5" l="1"/>
  <c r="L423" i="5" s="1"/>
  <c r="L425" i="5" s="1"/>
  <c r="L419" i="5" s="1"/>
  <c r="L420" i="5" s="1"/>
  <c r="L431" i="5" s="1"/>
  <c r="K432" i="5"/>
  <c r="L432" i="5" l="1"/>
  <c r="L9" i="6"/>
  <c r="L18" i="6" s="1"/>
  <c r="L21" i="6" s="1"/>
  <c r="D33" i="7" s="1"/>
  <c r="L426" i="5"/>
  <c r="M423" i="5" s="1"/>
  <c r="M425" i="5" s="1"/>
  <c r="M419" i="5" s="1"/>
  <c r="M420" i="5" s="1"/>
  <c r="M431" i="5" s="1"/>
  <c r="M9" i="6" s="1"/>
  <c r="M18" i="6" s="1"/>
  <c r="M21" i="6" s="1"/>
  <c r="D34" i="7" s="1"/>
  <c r="M426" i="5" l="1"/>
  <c r="D408" i="5" s="1"/>
  <c r="M20" i="2" s="1"/>
  <c r="M432" i="5"/>
  <c r="I493" i="5" l="1"/>
  <c r="I110" i="5" s="1"/>
  <c r="I495" i="5" l="1"/>
  <c r="I500" i="5" s="1"/>
  <c r="I27" i="5" s="1"/>
  <c r="J491" i="5"/>
  <c r="J493" i="5" l="1"/>
  <c r="J495" i="5" s="1"/>
  <c r="J500" i="5" s="1"/>
  <c r="K491" i="5" l="1"/>
  <c r="K493" i="5" s="1"/>
  <c r="J110" i="5"/>
  <c r="J27" i="5"/>
  <c r="L491" i="5" l="1"/>
  <c r="L493" i="5" s="1"/>
  <c r="K110" i="5"/>
  <c r="K495" i="5"/>
  <c r="K500" i="5" s="1"/>
  <c r="K27" i="5" s="1"/>
  <c r="M491" i="5" l="1"/>
  <c r="M493" i="5" s="1"/>
  <c r="L110" i="5"/>
  <c r="L495" i="5"/>
  <c r="L500" i="5" s="1"/>
  <c r="L27" i="5" s="1"/>
  <c r="M495" i="5" l="1"/>
  <c r="M500" i="5" s="1"/>
  <c r="M110" i="5"/>
  <c r="M27" i="5" l="1"/>
  <c r="N27" i="5" s="1"/>
  <c r="M21" i="2"/>
  <c r="M19" i="2" l="1"/>
  <c r="G10" i="6"/>
  <c r="I10" i="6"/>
  <c r="J10" i="6"/>
  <c r="K10" i="6"/>
  <c r="L10" i="6"/>
  <c r="M10" i="6"/>
  <c r="N10" i="6"/>
  <c r="I11" i="6"/>
  <c r="J11" i="6"/>
  <c r="K11" i="6"/>
  <c r="L11" i="6"/>
  <c r="M11" i="6"/>
  <c r="N11" i="6"/>
  <c r="I25" i="6"/>
  <c r="J25" i="6"/>
  <c r="K25" i="6"/>
  <c r="L25" i="6"/>
  <c r="M25" i="6"/>
  <c r="N25" i="6"/>
  <c r="I27" i="6"/>
  <c r="J27" i="6"/>
  <c r="K27" i="6"/>
  <c r="L27" i="6"/>
  <c r="M27" i="6"/>
  <c r="I28" i="6"/>
  <c r="J28" i="6"/>
  <c r="K28" i="6"/>
  <c r="L28" i="6"/>
  <c r="M28" i="6"/>
  <c r="N28" i="6"/>
  <c r="I31" i="6"/>
  <c r="J31" i="6"/>
  <c r="K31" i="6"/>
  <c r="L31" i="6"/>
  <c r="M31" i="6"/>
  <c r="N31" i="6"/>
  <c r="I34" i="6"/>
  <c r="J34" i="6"/>
  <c r="K34" i="6"/>
  <c r="L34" i="6"/>
  <c r="M34" i="6"/>
  <c r="N34" i="6"/>
  <c r="I50" i="6"/>
  <c r="J50" i="6"/>
  <c r="K50" i="6"/>
  <c r="L50" i="6"/>
  <c r="M50" i="6"/>
  <c r="N50" i="6"/>
  <c r="I54" i="6"/>
  <c r="J54" i="6"/>
  <c r="K54" i="6"/>
  <c r="L54" i="6"/>
  <c r="M54" i="6"/>
  <c r="M55" i="6"/>
  <c r="I56" i="6"/>
  <c r="J56" i="6"/>
  <c r="K56" i="6"/>
  <c r="L56" i="6"/>
  <c r="M56" i="6"/>
  <c r="I61" i="6"/>
  <c r="J61" i="6"/>
  <c r="K61" i="6"/>
  <c r="L61" i="6"/>
  <c r="M61" i="6"/>
  <c r="M62" i="6"/>
  <c r="I63" i="6"/>
  <c r="J63" i="6"/>
  <c r="K63" i="6"/>
  <c r="L63" i="6"/>
  <c r="M63" i="6"/>
  <c r="I68" i="6"/>
  <c r="J68" i="6"/>
  <c r="K68" i="6"/>
  <c r="L68" i="6"/>
  <c r="M68" i="6"/>
  <c r="M69" i="6"/>
  <c r="I70" i="6"/>
  <c r="J70" i="6"/>
  <c r="K70" i="6"/>
  <c r="L70" i="6"/>
  <c r="M70" i="6"/>
  <c r="H74" i="6"/>
  <c r="L74" i="6"/>
  <c r="M74" i="6"/>
  <c r="H75" i="6"/>
  <c r="L75" i="6"/>
  <c r="M75" i="6"/>
  <c r="L76" i="6"/>
  <c r="M76" i="6"/>
  <c r="H80" i="6"/>
  <c r="M80" i="6"/>
  <c r="H82" i="6"/>
  <c r="M82" i="6"/>
  <c r="I97" i="6"/>
  <c r="J97" i="6"/>
  <c r="K97" i="6"/>
  <c r="L97" i="6"/>
  <c r="M97" i="6"/>
  <c r="N97" i="6"/>
  <c r="I101" i="6"/>
  <c r="J101" i="6"/>
  <c r="K101" i="6"/>
  <c r="L101" i="6"/>
  <c r="M101" i="6"/>
  <c r="N101" i="6"/>
  <c r="I103" i="6"/>
  <c r="J103" i="6"/>
  <c r="K103" i="6"/>
  <c r="L103" i="6"/>
  <c r="M103" i="6"/>
  <c r="N103" i="6"/>
  <c r="I108" i="6"/>
  <c r="J108" i="6"/>
  <c r="K108" i="6"/>
  <c r="L108" i="6"/>
  <c r="M108" i="6"/>
  <c r="N108" i="6"/>
  <c r="I110" i="6"/>
  <c r="J110" i="6"/>
  <c r="K110" i="6"/>
  <c r="L110" i="6"/>
  <c r="M110" i="6"/>
  <c r="N110" i="6"/>
  <c r="I115" i="6"/>
  <c r="J115" i="6"/>
  <c r="K115" i="6"/>
  <c r="L115" i="6"/>
  <c r="M115" i="6"/>
  <c r="N115" i="6"/>
  <c r="I117" i="6"/>
  <c r="J117" i="6"/>
  <c r="K117" i="6"/>
  <c r="L117" i="6"/>
  <c r="M117" i="6"/>
  <c r="N117" i="6"/>
  <c r="H121" i="6"/>
  <c r="L121" i="6"/>
  <c r="M121" i="6"/>
  <c r="H122" i="6"/>
  <c r="L122" i="6"/>
  <c r="L123" i="6"/>
  <c r="M123" i="6"/>
  <c r="H127" i="6"/>
  <c r="M127" i="6"/>
  <c r="H129" i="6"/>
  <c r="M129" i="6"/>
  <c r="I26" i="5"/>
  <c r="J26" i="5"/>
  <c r="K26" i="5"/>
  <c r="L26" i="5"/>
  <c r="M26" i="5"/>
  <c r="N26" i="5"/>
  <c r="I29" i="5"/>
  <c r="J29" i="5"/>
  <c r="K29" i="5"/>
  <c r="L29" i="5"/>
  <c r="M29" i="5"/>
  <c r="N29" i="5"/>
  <c r="I31" i="5"/>
  <c r="J31" i="5"/>
  <c r="K31" i="5"/>
  <c r="L31" i="5"/>
  <c r="M31" i="5"/>
  <c r="N31" i="5"/>
  <c r="I32" i="5"/>
  <c r="J32" i="5"/>
  <c r="K32" i="5"/>
  <c r="L32" i="5"/>
  <c r="M32" i="5"/>
  <c r="I33" i="5"/>
  <c r="J33" i="5"/>
  <c r="K33" i="5"/>
  <c r="L33" i="5"/>
  <c r="M33" i="5"/>
  <c r="N33" i="5"/>
  <c r="I35" i="5"/>
  <c r="J35" i="5"/>
  <c r="K35" i="5"/>
  <c r="L35" i="5"/>
  <c r="M35" i="5"/>
  <c r="N35" i="5"/>
  <c r="I46" i="5"/>
  <c r="J46" i="5"/>
  <c r="K46" i="5"/>
  <c r="L46" i="5"/>
  <c r="M46" i="5"/>
  <c r="I47" i="5"/>
  <c r="J47" i="5"/>
  <c r="K47" i="5"/>
  <c r="L47" i="5"/>
  <c r="M47" i="5"/>
  <c r="I60" i="5"/>
  <c r="J60" i="5"/>
  <c r="K60" i="5"/>
  <c r="L60" i="5"/>
  <c r="M60" i="5"/>
  <c r="I74" i="5"/>
  <c r="J74" i="5"/>
  <c r="K74" i="5"/>
  <c r="L74" i="5"/>
  <c r="M74" i="5"/>
  <c r="I75" i="5"/>
  <c r="J75" i="5"/>
  <c r="K75" i="5"/>
  <c r="L75" i="5"/>
  <c r="M75" i="5"/>
  <c r="J79" i="5"/>
  <c r="K79" i="5"/>
  <c r="L79" i="5"/>
  <c r="M79" i="5"/>
  <c r="I80" i="5"/>
  <c r="J80" i="5"/>
  <c r="K80" i="5"/>
  <c r="L80" i="5"/>
  <c r="M80" i="5"/>
  <c r="I81" i="5"/>
  <c r="J81" i="5"/>
  <c r="K81" i="5"/>
  <c r="L81" i="5"/>
  <c r="M81" i="5"/>
  <c r="I92" i="5"/>
  <c r="J92" i="5"/>
  <c r="K92" i="5"/>
  <c r="L92" i="5"/>
  <c r="M92" i="5"/>
  <c r="I98" i="5"/>
  <c r="J98" i="5"/>
  <c r="K98" i="5"/>
  <c r="L98" i="5"/>
  <c r="M98" i="5"/>
  <c r="I104" i="5"/>
  <c r="J104" i="5"/>
  <c r="K104" i="5"/>
  <c r="L104" i="5"/>
  <c r="M104" i="5"/>
  <c r="I114" i="5"/>
  <c r="J114" i="5"/>
  <c r="K114" i="5"/>
  <c r="L114" i="5"/>
  <c r="M114" i="5"/>
  <c r="I115" i="5"/>
  <c r="J115" i="5"/>
  <c r="K115" i="5"/>
  <c r="L115" i="5"/>
  <c r="M115" i="5"/>
  <c r="I119" i="5"/>
  <c r="J119" i="5"/>
  <c r="K119" i="5"/>
  <c r="L119" i="5"/>
  <c r="M119" i="5"/>
  <c r="I126" i="5"/>
  <c r="J126" i="5"/>
  <c r="K126" i="5"/>
  <c r="L126" i="5"/>
  <c r="M126" i="5"/>
  <c r="I128" i="5"/>
  <c r="J128" i="5"/>
  <c r="K128" i="5"/>
  <c r="L128" i="5"/>
  <c r="M128" i="5"/>
  <c r="I131" i="5"/>
  <c r="J131" i="5"/>
  <c r="K131" i="5"/>
  <c r="L131" i="5"/>
  <c r="M131" i="5"/>
  <c r="I134" i="5"/>
  <c r="J134" i="5"/>
  <c r="K134" i="5"/>
  <c r="L134" i="5"/>
  <c r="M134" i="5"/>
  <c r="I361" i="5"/>
  <c r="J361" i="5"/>
  <c r="K361" i="5"/>
  <c r="L361" i="5"/>
  <c r="M361" i="5"/>
  <c r="I362" i="5"/>
  <c r="J362" i="5"/>
  <c r="K362" i="5"/>
  <c r="L362" i="5"/>
  <c r="M362" i="5"/>
  <c r="D366" i="5"/>
  <c r="I370" i="5"/>
  <c r="J370" i="5"/>
  <c r="K370" i="5"/>
  <c r="L370" i="5"/>
  <c r="M370" i="5"/>
  <c r="I373" i="5"/>
  <c r="J373" i="5"/>
  <c r="K373" i="5"/>
  <c r="L373" i="5"/>
  <c r="M373" i="5"/>
  <c r="I376" i="5"/>
  <c r="J376" i="5"/>
  <c r="K376" i="5"/>
  <c r="L376" i="5"/>
  <c r="M376" i="5"/>
  <c r="I377" i="5"/>
  <c r="J377" i="5"/>
  <c r="K377" i="5"/>
  <c r="L377" i="5"/>
  <c r="M377" i="5"/>
  <c r="I378" i="5"/>
  <c r="J378" i="5"/>
  <c r="K378" i="5"/>
  <c r="L378" i="5"/>
  <c r="M378" i="5"/>
  <c r="J381" i="5"/>
  <c r="K381" i="5"/>
  <c r="L381" i="5"/>
  <c r="M381" i="5"/>
  <c r="I382" i="5"/>
  <c r="J382" i="5"/>
  <c r="K382" i="5"/>
  <c r="L382" i="5"/>
  <c r="M382" i="5"/>
  <c r="I383" i="5"/>
  <c r="J383" i="5"/>
  <c r="K383" i="5"/>
  <c r="L383" i="5"/>
  <c r="M383" i="5"/>
  <c r="I384" i="5"/>
  <c r="J384" i="5"/>
  <c r="K384" i="5"/>
  <c r="L384" i="5"/>
  <c r="M384" i="5"/>
  <c r="I388" i="5"/>
  <c r="I389" i="5"/>
  <c r="J389" i="5"/>
  <c r="K389" i="5"/>
  <c r="L389" i="5"/>
  <c r="M389" i="5"/>
  <c r="I390" i="5"/>
  <c r="J390" i="5"/>
  <c r="K390" i="5"/>
  <c r="L390" i="5"/>
  <c r="M390" i="5"/>
  <c r="I391" i="5"/>
  <c r="J391" i="5"/>
  <c r="K391" i="5"/>
  <c r="L391" i="5"/>
  <c r="M391" i="5"/>
  <c r="J449" i="5"/>
  <c r="K449" i="5"/>
  <c r="L449" i="5"/>
  <c r="M449" i="5"/>
  <c r="I450" i="5"/>
  <c r="J450" i="5"/>
  <c r="K450" i="5"/>
  <c r="L450" i="5"/>
  <c r="M450" i="5"/>
  <c r="I451" i="5"/>
  <c r="J451" i="5"/>
  <c r="K451" i="5"/>
  <c r="L451" i="5"/>
  <c r="M451" i="5"/>
  <c r="I454" i="5"/>
  <c r="J454" i="5"/>
  <c r="K454" i="5"/>
  <c r="L454" i="5"/>
  <c r="M454" i="5"/>
  <c r="J478" i="5"/>
  <c r="K478" i="5"/>
  <c r="L478" i="5"/>
  <c r="M478" i="5"/>
  <c r="I479" i="5"/>
  <c r="J479" i="5"/>
  <c r="K479" i="5"/>
  <c r="L479" i="5"/>
  <c r="M479" i="5"/>
  <c r="I481" i="5"/>
  <c r="J481" i="5"/>
  <c r="K481" i="5"/>
  <c r="L481" i="5"/>
  <c r="M481" i="5"/>
  <c r="I485" i="5"/>
  <c r="J485" i="5"/>
  <c r="K485" i="5"/>
  <c r="L485" i="5"/>
  <c r="M485" i="5"/>
  <c r="I501" i="5"/>
  <c r="J501" i="5"/>
  <c r="K501" i="5"/>
  <c r="L501" i="5"/>
  <c r="M501" i="5"/>
  <c r="I502" i="5"/>
  <c r="J502" i="5"/>
  <c r="K502" i="5"/>
  <c r="L502" i="5"/>
  <c r="M502" i="5"/>
  <c r="J529" i="5"/>
  <c r="K529" i="5"/>
  <c r="L529" i="5"/>
  <c r="M529" i="5"/>
  <c r="I530" i="5"/>
  <c r="J530" i="5"/>
  <c r="K530" i="5"/>
  <c r="L530" i="5"/>
  <c r="M530" i="5"/>
  <c r="I531" i="5"/>
  <c r="J531" i="5"/>
  <c r="K531" i="5"/>
  <c r="L531" i="5"/>
  <c r="M531" i="5"/>
  <c r="I533" i="5"/>
  <c r="J533" i="5"/>
  <c r="K533" i="5"/>
  <c r="L533" i="5"/>
  <c r="M533" i="5"/>
  <c r="F13" i="7"/>
  <c r="F14" i="7"/>
  <c r="F18" i="7"/>
  <c r="J30" i="7"/>
  <c r="J31" i="7"/>
  <c r="J32" i="7"/>
  <c r="J33" i="7"/>
  <c r="J34" i="7"/>
  <c r="J35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<sst xmlns="http://schemas.openxmlformats.org/spreadsheetml/2006/main" count="682" uniqueCount="377">
  <si>
    <t xml:space="preserve"> </t>
  </si>
  <si>
    <t>Two UFCF Methods Different?</t>
  </si>
  <si>
    <t>Unused Tax Losses Remaining? (Unlevered Schedule)</t>
  </si>
  <si>
    <t>Unused Tax Losses Remaining? (Levered Schedule)</t>
  </si>
  <si>
    <t>Model Exceeding Operational Capacity?</t>
  </si>
  <si>
    <t>Terminal Growth Rate Greater Than or Equal To WACC?</t>
  </si>
  <si>
    <t>Model</t>
  </si>
  <si>
    <t>Incorrect Date Set for First Cash Flow?</t>
  </si>
  <si>
    <t>Inputs</t>
  </si>
  <si>
    <t>Incorrect Date Set for Valuation?</t>
  </si>
  <si>
    <t>Model Checks</t>
  </si>
  <si>
    <t>Table of Contents</t>
  </si>
  <si>
    <t>WACC</t>
  </si>
  <si>
    <t>Terminal Multiple</t>
  </si>
  <si>
    <t>Equity Value</t>
  </si>
  <si>
    <t>(US$/sh)</t>
  </si>
  <si>
    <t>Current Stock Price</t>
  </si>
  <si>
    <t>Shares Outstanding</t>
  </si>
  <si>
    <t>Net Debt</t>
  </si>
  <si>
    <t>Equity</t>
  </si>
  <si>
    <t>All figures in USD thousands unless stated</t>
  </si>
  <si>
    <t>Terminal Growth Rate</t>
  </si>
  <si>
    <t>Worst Case</t>
  </si>
  <si>
    <t>Base Case</t>
  </si>
  <si>
    <t>Best Case</t>
  </si>
  <si>
    <t xml:space="preserve">The Terminal EBITDA multiple should reflect a 'steady-state' industry multiple. </t>
  </si>
  <si>
    <t>(Years)</t>
  </si>
  <si>
    <t>Useful Life: New Assets</t>
  </si>
  <si>
    <t>Terminal Growth Greater Than or Equal To WACC?</t>
  </si>
  <si>
    <t>Useful Life: Existing Assets</t>
  </si>
  <si>
    <t>Weighted Average Cost of Capital (WACC)</t>
  </si>
  <si>
    <t>First Year Accounting Depreciation</t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</si>
  <si>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</si>
  <si>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>Blended Tax Depreciation Rate</t>
  </si>
  <si>
    <t>First Year Tax Depreciation</t>
  </si>
  <si>
    <t>Projected Interest Expense</t>
  </si>
  <si>
    <t>(Units/Day)</t>
  </si>
  <si>
    <t>Plant Capacity</t>
  </si>
  <si>
    <t>Valuation</t>
  </si>
  <si>
    <t>Other Inputs</t>
  </si>
  <si>
    <t>Days in Period</t>
  </si>
  <si>
    <t>Tax Losses</t>
  </si>
  <si>
    <t>(YYYY)</t>
  </si>
  <si>
    <t>First Year of Forecast</t>
  </si>
  <si>
    <t>Tax Basis for PP&amp;E</t>
  </si>
  <si>
    <t>(YY-MM-DD)</t>
  </si>
  <si>
    <t>First Fiscal Year End for Forecast</t>
  </si>
  <si>
    <t>Property Plant &amp; Equipment</t>
  </si>
  <si>
    <t>First Expected Cash Flow</t>
  </si>
  <si>
    <t>Valuation Date</t>
  </si>
  <si>
    <t>Dates</t>
  </si>
  <si>
    <t>Weighted Average Cost of Capital</t>
  </si>
  <si>
    <t xml:space="preserve">Levered Beta = Unlevered Beta x (1 + (1 - Tax rate) x (Debt-to-Equity)) </t>
  </si>
  <si>
    <t xml:space="preserve">Unlevered Beta = Levered Beta / (1 + (1 - Tax Rate) × Debt-to-Equity) </t>
  </si>
  <si>
    <t>Equity Capital</t>
  </si>
  <si>
    <t xml:space="preserve">Levered beta is based on 5-year monthly data. </t>
  </si>
  <si>
    <t>Debt Capital</t>
  </si>
  <si>
    <t xml:space="preserve">Tax Rate is a 5-Year Average. </t>
  </si>
  <si>
    <t>Cost</t>
  </si>
  <si>
    <t>Weight</t>
  </si>
  <si>
    <t>Debt / Equity</t>
  </si>
  <si>
    <t>Total Capitalization</t>
  </si>
  <si>
    <t>After-Tax Cost of Debt</t>
  </si>
  <si>
    <t>Market Capitalization</t>
  </si>
  <si>
    <t>Tax Rate</t>
  </si>
  <si>
    <t>Total Debt</t>
  </si>
  <si>
    <t>Pre-Tax Cost of Debt</t>
  </si>
  <si>
    <t>Target</t>
  </si>
  <si>
    <t>Current</t>
  </si>
  <si>
    <t>Cost of Debt</t>
  </si>
  <si>
    <t>Capital Structure</t>
  </si>
  <si>
    <t>Cost of Equity</t>
  </si>
  <si>
    <t>Equity Risk Premium</t>
  </si>
  <si>
    <t>Country Risk Premium</t>
  </si>
  <si>
    <r>
      <t xml:space="preserve">Levered Beta </t>
    </r>
    <r>
      <rPr>
        <vertAlign val="superscript"/>
        <sz val="10"/>
        <color rgb="FF000000"/>
        <rFont val="Open Sans"/>
        <family val="2"/>
      </rPr>
      <t>4</t>
    </r>
  </si>
  <si>
    <t>Average Unlevered Beta</t>
  </si>
  <si>
    <t>Risk Free Rate</t>
  </si>
  <si>
    <t>Market Risk Premium</t>
  </si>
  <si>
    <t>Risk Premium for Equity</t>
  </si>
  <si>
    <t>Median</t>
  </si>
  <si>
    <t>Average</t>
  </si>
  <si>
    <t>Europe</t>
  </si>
  <si>
    <r>
      <t xml:space="preserve">Beta </t>
    </r>
    <r>
      <rPr>
        <b/>
        <vertAlign val="superscript"/>
        <sz val="10"/>
        <color theme="1"/>
        <rFont val="Open Sans"/>
        <family val="2"/>
      </rPr>
      <t>3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</si>
  <si>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2</t>
    </r>
  </si>
  <si>
    <t>Capital</t>
  </si>
  <si>
    <r>
      <t xml:space="preserve">Tax Rate </t>
    </r>
    <r>
      <rPr>
        <b/>
        <vertAlign val="superscript"/>
        <sz val="10"/>
        <color theme="1"/>
        <rFont val="Open Sans"/>
        <family val="2"/>
      </rPr>
      <t>1</t>
    </r>
  </si>
  <si>
    <t>Debt</t>
  </si>
  <si>
    <t>Region</t>
  </si>
  <si>
    <t>Name</t>
  </si>
  <si>
    <t>Unlevered</t>
  </si>
  <si>
    <t>Levered</t>
  </si>
  <si>
    <t>Debt/</t>
  </si>
  <si>
    <t xml:space="preserve">We have assumed working capital amounts per day in terminal year are equal to the previous year. </t>
  </si>
  <si>
    <t>(Days)</t>
  </si>
  <si>
    <t>Accounts Payable</t>
  </si>
  <si>
    <t>Inventory</t>
  </si>
  <si>
    <t>Accounts Receivable</t>
  </si>
  <si>
    <r>
      <t xml:space="preserve">Working Capital </t>
    </r>
    <r>
      <rPr>
        <b/>
        <vertAlign val="superscript"/>
        <sz val="10"/>
        <color rgb="FF000000"/>
        <rFont val="Open Sans"/>
        <family val="2"/>
      </rPr>
      <t>1</t>
    </r>
  </si>
  <si>
    <t>Inflation Rate</t>
  </si>
  <si>
    <t>Capital Expenditure</t>
  </si>
  <si>
    <t>Pricing Increases</t>
  </si>
  <si>
    <t>Sales Volume Growth</t>
  </si>
  <si>
    <t>Driver Switch</t>
  </si>
  <si>
    <t>Term</t>
  </si>
  <si>
    <t>Drivers</t>
  </si>
  <si>
    <t xml:space="preserve">The Enterprise Value from the XNPV Function is slightly different from the Manual Method due to treatment of leap years. </t>
  </si>
  <si>
    <t xml:space="preserve">We have applied an LTM multiple to the EBITDA at the end of the terminal year to calculate the Terminal Value. </t>
  </si>
  <si>
    <t>($/sh)</t>
  </si>
  <si>
    <t>Less: Net Debt</t>
  </si>
  <si>
    <t>Enterprise Value</t>
  </si>
  <si>
    <t>EQUITY VALUE PER SHARE</t>
  </si>
  <si>
    <t>EQUITY VALUE</t>
  </si>
  <si>
    <t>PV of Terminal</t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</si>
  <si>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</si>
  <si>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t>PV of Discrete</t>
  </si>
  <si>
    <t>Manual Method</t>
  </si>
  <si>
    <t>ENTERPRISE VALUE</t>
  </si>
  <si>
    <t>Total Cash Flow</t>
  </si>
  <si>
    <t>Terminal Value</t>
  </si>
  <si>
    <t>Discrete Forecast</t>
  </si>
  <si>
    <t>Years for Discounting</t>
  </si>
  <si>
    <t>DISCOUNTED CASH FLOW</t>
  </si>
  <si>
    <t>Partial Period Adjustment</t>
  </si>
  <si>
    <t>ADJUSTED CASH FLOW</t>
  </si>
  <si>
    <t>Adjustment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</si>
  <si>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</si>
  <si>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>Terminal</t>
  </si>
  <si>
    <t>UNADJUSTED CASH FLOW</t>
  </si>
  <si>
    <t>EBITDA</t>
  </si>
  <si>
    <t>Unlevered Free Cash Flow</t>
  </si>
  <si>
    <t>Cash Flow Timing</t>
  </si>
  <si>
    <t>Fiscal Year End</t>
  </si>
  <si>
    <t>Discounted Cash Flow Schedule: Multiple Method</t>
  </si>
  <si>
    <t xml:space="preserve">The Enterprise Value from the XNPV Function is slightly different due to treatment of leap years. 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</si>
  <si>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</si>
  <si>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Terminal Growth</t>
  </si>
  <si>
    <t>Discounted Cash Flow Schedule: Perpetuity Method</t>
  </si>
  <si>
    <t xml:space="preserve">This schedule assumes no deferred taxes in the terminal year. </t>
  </si>
  <si>
    <t xml:space="preserve">Capital expenditure has been set equal to depreciation in the terminal year. </t>
  </si>
  <si>
    <t>Change in Working Capital</t>
  </si>
  <si>
    <t>Tax Shield From Interest</t>
  </si>
  <si>
    <t>Interest Expense</t>
  </si>
  <si>
    <r>
      <t xml:space="preserve">Deferred Tax </t>
    </r>
    <r>
      <rPr>
        <vertAlign val="superscript"/>
        <sz val="9"/>
        <rFont val="Open Sans"/>
        <family val="2"/>
      </rPr>
      <t>2</t>
    </r>
  </si>
  <si>
    <r>
      <t xml:space="preserve">Depreciation </t>
    </r>
    <r>
      <rPr>
        <vertAlign val="superscript"/>
        <sz val="9"/>
        <rFont val="Open Sans"/>
        <family val="2"/>
      </rPr>
      <t>1</t>
    </r>
  </si>
  <si>
    <t>Net Income</t>
  </si>
  <si>
    <t>NET INCOME METHOD</t>
  </si>
  <si>
    <t>Current Taxes</t>
  </si>
  <si>
    <t>EBITDA METHOD</t>
  </si>
  <si>
    <t>Total Tax Shield</t>
  </si>
  <si>
    <t>EBT</t>
  </si>
  <si>
    <t>Current Taxes (Levered)</t>
  </si>
  <si>
    <t>EBIT</t>
  </si>
  <si>
    <t>Current Taxes (Unlevered)</t>
  </si>
  <si>
    <t>Line Item</t>
  </si>
  <si>
    <t>TAX SHIELD FROM INTEREST</t>
  </si>
  <si>
    <t>Unlevered Free Cash Flow Schedule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</si>
  <si>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</si>
  <si>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</si>
  <si>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</si>
  <si>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</si>
  <si>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</si>
  <si>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</si>
  <si>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</si>
  <si>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</si>
  <si>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</si>
  <si>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</si>
  <si>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</si>
  <si>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9"/>
        <rFont val="Open Sans"/>
        <family val="2"/>
      </rPr>
      <t>2</t>
    </r>
  </si>
  <si>
    <t>EBIT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</si>
  <si>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</si>
  <si>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</si>
  <si>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</si>
  <si>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ADJUSTMENT FOR DEPRECIATION</t>
  </si>
  <si>
    <t>Unused Tax Losses Remaining?</t>
  </si>
  <si>
    <t>Profitable Before Taxes?</t>
  </si>
  <si>
    <t>Earnings Before Interest &amp; Tax (EBIT)</t>
  </si>
  <si>
    <t>Income Tax Schedule (Unlevered)</t>
  </si>
  <si>
    <t>EBT After Adjustment</t>
  </si>
  <si>
    <t>Earnings Before Tax (EBT)</t>
  </si>
  <si>
    <t>Income Tax Schedule (Levered)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</si>
  <si>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</si>
  <si>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</si>
  <si>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</si>
  <si>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</si>
  <si>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</si>
  <si>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</si>
  <si>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</si>
  <si>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</si>
  <si>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</si>
  <si>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</si>
  <si>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</si>
  <si>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</si>
  <si>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</si>
  <si>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</si>
  <si>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</si>
  <si>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</si>
  <si>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Life</t>
  </si>
  <si>
    <t>Percent of Full Year</t>
  </si>
  <si>
    <t>Years</t>
  </si>
  <si>
    <r>
      <t xml:space="preserve">NEW ASSET DEPRECIATION </t>
    </r>
    <r>
      <rPr>
        <b/>
        <vertAlign val="superscript"/>
        <sz val="10"/>
        <rFont val="Open Sans"/>
        <family val="2"/>
      </rPr>
      <t>1</t>
    </r>
  </si>
  <si>
    <r>
      <t xml:space="preserve">EXISTING ASSET DEPRECIATION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</si>
  <si>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</si>
  <si>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</si>
  <si>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</si>
  <si>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Net Working Capital</t>
  </si>
  <si>
    <t>Current Liabilities</t>
  </si>
  <si>
    <t>Current Assets</t>
  </si>
  <si>
    <t>NET WORKING CAPITAL</t>
  </si>
  <si>
    <t>TOTAL AMOUNTS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</si>
  <si>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</si>
  <si>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>COGS</t>
  </si>
  <si>
    <t>Revenue</t>
  </si>
  <si>
    <t>Working Capital Schedule</t>
  </si>
  <si>
    <t>Total Tax</t>
  </si>
  <si>
    <t>Deferred Tax</t>
  </si>
  <si>
    <t>Current Tax</t>
  </si>
  <si>
    <t>Depreciation</t>
  </si>
  <si>
    <t>Other</t>
  </si>
  <si>
    <t>SG&amp;A</t>
  </si>
  <si>
    <t>Gross Profit</t>
  </si>
  <si>
    <t>Inflation</t>
  </si>
  <si>
    <t>Income Statement</t>
  </si>
  <si>
    <t>Total Costs</t>
  </si>
  <si>
    <t>Fixed Costs</t>
  </si>
  <si>
    <t>Variable Costs</t>
  </si>
  <si>
    <t>(USD/Unit)</t>
  </si>
  <si>
    <t>SUMMARY</t>
  </si>
  <si>
    <t>Subtotal</t>
  </si>
  <si>
    <t>Insurance</t>
  </si>
  <si>
    <t>Utilities</t>
  </si>
  <si>
    <t>Labor</t>
  </si>
  <si>
    <t>FIXED COSTS</t>
  </si>
  <si>
    <t>Transportation</t>
  </si>
  <si>
    <t>Packaging</t>
  </si>
  <si>
    <t>Materials</t>
  </si>
  <si>
    <t>VARIABLE COSTS</t>
  </si>
  <si>
    <t>Sales Volume</t>
  </si>
  <si>
    <t>Cost Schedule</t>
  </si>
  <si>
    <t>Operational Capacity Exceeded?</t>
  </si>
  <si>
    <t>Sales Price</t>
  </si>
  <si>
    <t>(Units)</t>
  </si>
  <si>
    <t>REVENUE</t>
  </si>
  <si>
    <t>Unit Price</t>
  </si>
  <si>
    <t>PRICING</t>
  </si>
  <si>
    <t>VOLUME</t>
  </si>
  <si>
    <t>Operational Efficiency</t>
  </si>
  <si>
    <t>OPERATIONS</t>
  </si>
  <si>
    <t>Revenue Schedule</t>
  </si>
  <si>
    <t>Microsoft (MSFT)</t>
  </si>
  <si>
    <t>Alphabet (GOOGL)</t>
  </si>
  <si>
    <t>Amazon (AMZN)</t>
  </si>
  <si>
    <t>Samsung (SMSN)</t>
  </si>
  <si>
    <t>Sony (SONY)</t>
  </si>
  <si>
    <t>Tax Basis for Assets</t>
  </si>
  <si>
    <t>Interest Rates</t>
  </si>
  <si>
    <t>Cash Balances</t>
  </si>
  <si>
    <t>Long Term Debt</t>
  </si>
  <si>
    <t>Dividend Payout Ratio</t>
  </si>
  <si>
    <t>Other Annual Inputs</t>
  </si>
  <si>
    <t>Term Debt</t>
  </si>
  <si>
    <t>Common Equity</t>
  </si>
  <si>
    <t>Gross Margin %</t>
  </si>
  <si>
    <t>Increase / (Decrease)</t>
  </si>
  <si>
    <t>All figures in USD millions unless stated</t>
  </si>
  <si>
    <t>R&amp;D</t>
  </si>
  <si>
    <t xml:space="preserve">Interest Income </t>
  </si>
  <si>
    <t>Other Income/(Expense)</t>
  </si>
  <si>
    <t>Vendor Non-Trade Receivables</t>
  </si>
  <si>
    <t xml:space="preserve">Vendor Days </t>
  </si>
  <si>
    <t>Vendor Days</t>
  </si>
  <si>
    <t>R&amp;D % of Revenue</t>
  </si>
  <si>
    <t>Other Non-Op % of Revenue</t>
  </si>
  <si>
    <t>Cash Flow Statement</t>
  </si>
  <si>
    <t>CASH FROM OPERATING</t>
  </si>
  <si>
    <t>Cash From Accounts Receivable</t>
  </si>
  <si>
    <t>Cash From Inventory</t>
  </si>
  <si>
    <t>Cash From Accounts Payable</t>
  </si>
  <si>
    <t xml:space="preserve"> Share-Based Compensation</t>
  </si>
  <si>
    <t>CASH FROM INVESTING</t>
  </si>
  <si>
    <t>CASH FROM FINANCING</t>
  </si>
  <si>
    <t>Change in Long-Term Debt</t>
  </si>
  <si>
    <t>Change in Common Equity</t>
  </si>
  <si>
    <t>Dividends</t>
  </si>
  <si>
    <t>CASH BALANCE</t>
  </si>
  <si>
    <t>Beginning of the Year</t>
  </si>
  <si>
    <t>End of the Year</t>
  </si>
  <si>
    <t>Balance Sheet</t>
  </si>
  <si>
    <t>ASSETS</t>
  </si>
  <si>
    <t>Cash</t>
  </si>
  <si>
    <t>Inventories</t>
  </si>
  <si>
    <t>Total Current Assets</t>
  </si>
  <si>
    <t>Total Assets</t>
  </si>
  <si>
    <t>LIABILITIES</t>
  </si>
  <si>
    <t>Total Current Liabilities</t>
  </si>
  <si>
    <t>Total Liabilities</t>
  </si>
  <si>
    <t>EQUITY</t>
  </si>
  <si>
    <t>Retained Earnings</t>
  </si>
  <si>
    <t>Accum Other Comprehensive Income/(Loss)</t>
  </si>
  <si>
    <t>Total Shareholders' Equity</t>
  </si>
  <si>
    <t>Total Liabilities &amp; Equity</t>
  </si>
  <si>
    <t>Check</t>
  </si>
  <si>
    <t>Current Marketable Securities</t>
  </si>
  <si>
    <t>Non-Current Marketable Securities</t>
  </si>
  <si>
    <t>Commercial Paper</t>
  </si>
  <si>
    <t>Deferred revenue</t>
  </si>
  <si>
    <t>Term debt</t>
  </si>
  <si>
    <t>Accumulated deficit</t>
  </si>
  <si>
    <t>Cash From Vendor Non-Trade Receivables</t>
  </si>
  <si>
    <t>Purchases/Sales of Marketable Securities</t>
  </si>
  <si>
    <t>Change in Commercial Paper</t>
  </si>
  <si>
    <t>Repurchase of Common Stock</t>
  </si>
  <si>
    <t>Other Current Assets</t>
  </si>
  <si>
    <t>Other Non-Current Assets</t>
  </si>
  <si>
    <t>`</t>
  </si>
  <si>
    <t>Other Current Liabilities</t>
  </si>
  <si>
    <t>Current Term Debt</t>
  </si>
  <si>
    <t>Debt Schedule: Part 1</t>
  </si>
  <si>
    <t>CASH</t>
  </si>
  <si>
    <t>Beginning Balance</t>
  </si>
  <si>
    <t>Ending Balance</t>
  </si>
  <si>
    <t>Interest Rate</t>
  </si>
  <si>
    <t>Interest Income</t>
  </si>
  <si>
    <t>LONG TERM DEBT</t>
  </si>
  <si>
    <t>Debt Schedule: Part 2</t>
  </si>
  <si>
    <t>Beginning Cash Balance</t>
  </si>
  <si>
    <t>Cash from Operations</t>
  </si>
  <si>
    <t>Cash from Investing</t>
  </si>
  <si>
    <t>Less: Interest Income</t>
  </si>
  <si>
    <t>Net Interest Expense</t>
  </si>
  <si>
    <t>Equity Schedule</t>
  </si>
  <si>
    <t>COMMON EQUITY</t>
  </si>
  <si>
    <t>Payout Ratio</t>
  </si>
  <si>
    <t>RETAINED EARNINGS</t>
  </si>
  <si>
    <t>CASH CHANGES</t>
  </si>
  <si>
    <t>CASH FLOW BEFORE DEBT</t>
  </si>
  <si>
    <t>Change in Long-Term Debt (Term Debt)</t>
  </si>
  <si>
    <t>Change in Common Equity / Other</t>
  </si>
  <si>
    <t>Cash Available for Commercial Paper</t>
  </si>
  <si>
    <t>COMMERCIAL PAPER (Short-Term Debt)</t>
  </si>
  <si>
    <t>Average Commercial Paper Balance</t>
  </si>
  <si>
    <t>Other Non-Current Liabilities</t>
  </si>
  <si>
    <t>Deferred revenue as % of revenue</t>
  </si>
  <si>
    <t>Stock-Based Compensation</t>
  </si>
  <si>
    <t>Other Equity Movements</t>
  </si>
  <si>
    <t>Share Buybacks (Repurchases)</t>
  </si>
  <si>
    <t>Share Buyback Target</t>
  </si>
  <si>
    <t>Tax / Book Depr %</t>
  </si>
  <si>
    <t>SBC as % of Operating Expenses</t>
  </si>
  <si>
    <t>Cash From Other Current Assets</t>
  </si>
  <si>
    <t>Cash From Other Non-Current Assets</t>
  </si>
  <si>
    <t>Cash From Other Current Liabilities</t>
  </si>
  <si>
    <t>Cash From Other Non-Current Liabilities</t>
  </si>
  <si>
    <t>Other Historical Adjustments</t>
  </si>
  <si>
    <t>Cash from Deferred Revenue</t>
  </si>
  <si>
    <t>Deferred Tax Liability</t>
  </si>
  <si>
    <t>Plus: Other Expense</t>
  </si>
  <si>
    <t>After-Tax Net Non-Operating Expense</t>
  </si>
  <si>
    <t>Summary</t>
  </si>
  <si>
    <t xml:space="preserve">Year </t>
  </si>
  <si>
    <t>term</t>
  </si>
  <si>
    <t>UFCF</t>
  </si>
  <si>
    <t>Net Cash</t>
  </si>
  <si>
    <t xml:space="preserve">Apple </t>
  </si>
  <si>
    <t>Apple</t>
  </si>
  <si>
    <t xml:space="preserve">        Apple</t>
  </si>
  <si>
    <t>DCF</t>
  </si>
  <si>
    <t>Apple Inc. – DCF Valuation &amp; Analysis</t>
  </si>
  <si>
    <t xml:space="preserve">This model provides a 5-year integrated forecast (2026–2030) for Apple Inc. </t>
  </si>
  <si>
    <t xml:space="preserve">It calculates intrinsic value using both Perpetuity Growth and Exit Multiple methods, </t>
  </si>
  <si>
    <t>with interactive sensitivity analysis hosted in Power BI.</t>
  </si>
  <si>
    <t>Implied Share Price (Perpetuity)</t>
  </si>
  <si>
    <t>Implied Share Price (Exit Multiple)</t>
  </si>
  <si>
    <t xml:space="preserve">Terminal EBITDA Multiple </t>
  </si>
  <si>
    <t>Blended Upside / (Downside)</t>
  </si>
  <si>
    <t xml:space="preserve">This integrated valuation hub bridges a 5-year 3-statement forecast with dynamic DCF modeling. </t>
  </si>
  <si>
    <t>The analysis indicates a significant valuation gap, with the current market price trading at a 33.9% premium to the fundamental intrinsic value.</t>
  </si>
  <si>
    <t>Interactive sensitivity analysis of WACC and Terminal Growth is available via the Power BI link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</si>
</sst>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3" formatCode="_(* #,##0.00_);_(* \(#,##0.00\);_(* &quot;-&quot;??_);_(@_)"/>
    <numFmt numFmtId="164" formatCode="_(#,##0_)_%;\(#,##0\)_%;_(&quot;–&quot;_)_%;_(@_)_%"/>
    <numFmt numFmtId="165" formatCode="&quot;Yes&quot;;&quot;ERROR&quot;;&quot;No&quot;;&quot;ERROR&quot;"/>
    <numFmt numFmtId="166" formatCode="_(#,##0.0%_);\(#,##0.0%\);_(&quot;–&quot;_)_%;_(@_)_%"/>
    <numFmt numFmtId="167" formatCode="@\⁽\¹\⁾"/>
    <numFmt numFmtId="168" formatCode="_(#,##0_);\(#,##0\);_(&quot;–&quot;_);_(@_)"/>
    <numFmt numFmtId="169" formatCode="_(0.0\x_);\(0.0\x\);_(&quot;–&quot;_);_(@_)"/>
    <numFmt numFmtId="170" formatCode="#,##0_);\(#,##0\);\-"/>
    <numFmt numFmtId="171" formatCode="_(#,##0.00_);\(#,##0.00\);_(&quot;–&quot;_);_(@_)"/>
    <numFmt numFmtId="172" formatCode="#,##0.00_);\(#,##0.00\);\-"/>
    <numFmt numFmtId="173" formatCode="0.0%"/>
    <numFmt numFmtId="174" formatCode="0&quot;A&quot;"/>
    <numFmt numFmtId="175" formatCode="0&quot;F&quot;"/>
    <numFmt numFmtId="176" formatCode="_-* #,##0_-;\(#,##0\)_-;_-* &quot;-&quot;_-;_-@_-"/>
    <numFmt numFmtId="177" formatCode="&quot;Yes&quot;_);&quot;ERROR&quot;_);&quot;No&quot;_);&quot;ERROR&quot;_)"/>
    <numFmt numFmtId="178" formatCode="_(#,##0%_);\(#,##0%\);_(&quot;–&quot;_)_%;_(@_)_%"/>
    <numFmt numFmtId="179" formatCode="0000_)"/>
    <numFmt numFmtId="180" formatCode="yyyy/mm/dd_)"/>
    <numFmt numFmtId="181" formatCode="@\⁽\⁴\⁾"/>
    <numFmt numFmtId="182" formatCode="@\⁽\³\⁾"/>
    <numFmt numFmtId="183" formatCode="@\⁽\²\⁾"/>
    <numFmt numFmtId="184" formatCode="_(0.00\x_)_)_';_(\(0.00\x\)_'_';_(&quot;–&quot;_);_(@_)"/>
    <numFmt numFmtId="185" formatCode="_(#,##0_)\⁽\²\⁾;\(#,##0\)\⁽\²\⁾;_(&quot;–&quot;_)\⁽\²\⁾;_(@_)\⁽\²\⁾"/>
    <numFmt numFmtId="186" formatCode="_(#,##0_)\⁽\¹\⁾;\(#,##0\)\⁽\¹\⁾;_(&quot;–&quot;_)\⁽\¹\⁾;_(@_)\⁽\¹\⁾"/>
    <numFmt numFmtId="187" formatCode="yyyy/mm/dd;@"/>
    <numFmt numFmtId="188" formatCode="#,##0_);[Red]\(#,##0\);\-"/>
    <numFmt numFmtId="189" formatCode="_(0.0000\x_);\(0.0000\x\);_(&quot;–&quot;_);_(@_)"/>
    <numFmt numFmtId="190" formatCode="yy/mm/dd"/>
    <numFmt numFmtId="191" formatCode="[=1]&quot;Yes&quot;_);[=0]&quot;No&quot;_)"/>
    <numFmt numFmtId="192" formatCode="#,##0.0_);\(#,##0.0\);\-"/>
    <numFmt numFmtId="193" formatCode="0&quot;F&quot;\ "/>
    <numFmt numFmtId="194" formatCode="&quot;Yr&quot;\ 0_)"/>
    <numFmt numFmtId="195" formatCode="_-* #,##0_-;\-* #,##0_-;_-* &quot;-&quot;??_-;_-@_-"/>
    <numFmt numFmtId="196" formatCode="[=0]&quot;-&quot;_);[=1]&quot;Yes&quot;_)"/>
    <numFmt numFmtId="197" formatCode="_(#,##0.0_);\(#,##0.0\);_(&quot;–&quot;_);_(@_)"/>
    <numFmt numFmtId="198" formatCode="_-* #,##0.00_-;\(#,##0.00\)_-;_-* &quot;-&quot;_-;_-@_-"/>
    <numFmt numFmtId="199" formatCode="_-* #,##0.00_-;\-* #,##0.00_-;_-* &quot;-&quot;??_-;_-@_-"/>
    <numFmt numFmtId="200" formatCode="#,##0.000_);\(#,##0.000\)"/>
    <numFmt numFmtId="201" formatCode="0&quot;E&quot;"/>
    <numFmt numFmtId="202" formatCode="0.0\x"/>
    <numFmt numFmtId="207" formatCode="[Green]0.0%;[Red]\(0.0%\)"/>
  </numFmts>
  <fonts count="78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2060"/>
      <name val="Open Sans"/>
      <family val="2"/>
    </font>
    <font>
      <sz val="12"/>
      <color rgb="FF000000"/>
      <name val="Open Sans"/>
      <family val="2"/>
    </font>
    <font>
      <u/>
      <sz val="11"/>
      <color theme="10"/>
      <name val="Calibri"/>
      <family val="2"/>
      <scheme val="minor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10"/>
      <color rgb="FF000000"/>
      <name val="Open Sans"/>
      <family val="2"/>
    </font>
    <font>
      <sz val="11"/>
      <color rgb="FF000000"/>
      <name val="Open Sans"/>
      <family val="2"/>
    </font>
    <font>
      <sz val="9"/>
      <name val="Open Sans"/>
      <family val="2"/>
    </font>
    <font>
      <i/>
      <sz val="10"/>
      <color rgb="FF000000"/>
      <name val="Open Sans"/>
      <family val="2"/>
    </font>
    <font>
      <b/>
      <sz val="10"/>
      <color rgb="FF000000"/>
      <name val="Open Sans"/>
      <family val="2"/>
    </font>
    <font>
      <b/>
      <vertAlign val="superscript"/>
      <sz val="10"/>
      <color theme="1"/>
      <name val="Open Sans"/>
      <family val="2"/>
    </font>
    <font>
      <i/>
      <sz val="10"/>
      <color theme="1"/>
      <name val="Open Sans"/>
      <family val="2"/>
    </font>
    <font>
      <sz val="11"/>
      <name val="Open Sans"/>
      <family val="2"/>
    </font>
    <font>
      <sz val="11"/>
      <color rgb="FFC32838"/>
      <name val="Open Sans"/>
      <family val="2"/>
    </font>
    <font>
      <i/>
      <sz val="9"/>
      <color rgb="FF000000"/>
      <name val="Open Sans"/>
      <family val="2"/>
    </font>
    <font>
      <i/>
      <sz val="9"/>
      <name val="Open Sans"/>
      <family val="2"/>
    </font>
    <font>
      <sz val="14"/>
      <color theme="1"/>
      <name val="Open Sans"/>
      <family val="2"/>
    </font>
    <font>
      <b/>
      <sz val="10"/>
      <name val="Open Sans"/>
      <family val="2"/>
    </font>
    <font>
      <b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color rgb="FF3271D2"/>
      <name val="Open Sans"/>
      <family val="2"/>
    </font>
    <font>
      <sz val="10"/>
      <name val="Bookman"/>
      <family val="1"/>
    </font>
    <font>
      <b/>
      <sz val="16"/>
      <color theme="0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i/>
      <sz val="11"/>
      <color theme="1"/>
      <name val="Open Sans"/>
      <family val="2"/>
    </font>
    <font>
      <i/>
      <sz val="8"/>
      <color rgb="FF000000"/>
      <name val="Open Sans"/>
      <family val="2"/>
    </font>
    <font>
      <i/>
      <sz val="11"/>
      <color rgb="FF000000"/>
      <name val="Open Sans"/>
      <family val="2"/>
    </font>
    <font>
      <vertAlign val="superscript"/>
      <sz val="10"/>
      <color theme="1"/>
      <name val="Open Sans"/>
      <family val="2"/>
    </font>
    <font>
      <sz val="10"/>
      <name val="Open Sans"/>
      <family val="2"/>
    </font>
    <font>
      <sz val="9"/>
      <color rgb="FF000000"/>
      <name val="Open Sans"/>
      <family val="2"/>
    </font>
    <font>
      <vertAlign val="superscript"/>
      <sz val="10"/>
      <color rgb="FF000000"/>
      <name val="Open Sans"/>
      <family val="2"/>
    </font>
    <font>
      <b/>
      <sz val="11"/>
      <color rgb="FF3271D2"/>
      <name val="Open Sans"/>
      <family val="2"/>
    </font>
    <font>
      <b/>
      <sz val="14"/>
      <color rgb="FF0000FF"/>
      <name val="Open Sans"/>
      <family val="2"/>
    </font>
    <font>
      <b/>
      <vertAlign val="superscript"/>
      <sz val="10"/>
      <color rgb="FF000000"/>
      <name val="Open Sans"/>
      <family val="2"/>
    </font>
    <font>
      <sz val="10"/>
      <color rgb="FF0000FF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vertAlign val="superscript"/>
      <sz val="9"/>
      <name val="Open Sans"/>
      <family val="2"/>
    </font>
    <font>
      <b/>
      <sz val="9"/>
      <color rgb="FF000000"/>
      <name val="Open Sans"/>
      <family val="2"/>
    </font>
    <font>
      <vertAlign val="superscript"/>
      <sz val="10"/>
      <name val="Open Sans"/>
      <family val="2"/>
    </font>
    <font>
      <sz val="10"/>
      <color rgb="FFC32838"/>
      <name val="Open Sans"/>
      <family val="2"/>
    </font>
    <font>
      <sz val="10"/>
      <color theme="9" tint="-0.249977111117893"/>
      <name val="Open Sans"/>
      <family val="2"/>
    </font>
    <font>
      <sz val="14"/>
      <color rgb="FF000000"/>
      <name val="Open Sans"/>
      <family val="2"/>
    </font>
    <font>
      <sz val="8"/>
      <name val="Open Sans"/>
      <family val="2"/>
    </font>
    <font>
      <b/>
      <i/>
      <sz val="10"/>
      <color rgb="FF3271D2"/>
      <name val="Open Sans"/>
      <family val="2"/>
    </font>
    <font>
      <vertAlign val="superscript"/>
      <sz val="9"/>
      <color rgb="FF000000"/>
      <name val="Open Sans"/>
      <family val="2"/>
    </font>
    <font>
      <b/>
      <i/>
      <sz val="10"/>
      <name val="Open Sans"/>
      <family val="2"/>
    </font>
    <font>
      <b/>
      <i/>
      <sz val="10"/>
      <color theme="0"/>
      <name val="Open Sans"/>
      <family val="2"/>
    </font>
    <font>
      <b/>
      <sz val="10"/>
      <color rgb="FFFFFFFF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0"/>
      <color rgb="FFFA621C"/>
      <name val="Open Sans"/>
      <family val="2"/>
    </font>
    <font>
      <b/>
      <vertAlign val="superscript"/>
      <sz val="9"/>
      <name val="Open Sans"/>
      <family val="2"/>
    </font>
    <font>
      <sz val="11"/>
      <color rgb="FFFA621C"/>
      <name val="Open Sans"/>
      <family val="2"/>
    </font>
    <font>
      <b/>
      <sz val="11"/>
      <name val="Open Sans"/>
      <family val="2"/>
    </font>
    <font>
      <b/>
      <sz val="10"/>
      <color rgb="FF0000FF"/>
      <name val="Open Sans"/>
      <family val="2"/>
    </font>
    <font>
      <i/>
      <sz val="10"/>
      <color rgb="FFFF0000"/>
      <name val="Open Sans"/>
      <family val="2"/>
    </font>
    <font>
      <b/>
      <i/>
      <sz val="11"/>
      <color rgb="FFFA621C"/>
      <name val="Open Sans"/>
      <family val="2"/>
    </font>
    <font>
      <b/>
      <sz val="11"/>
      <color rgb="FFFA621C"/>
      <name val="Open Sans"/>
      <family val="2"/>
    </font>
    <font>
      <sz val="10"/>
      <name val="Arial"/>
      <family val="2"/>
    </font>
    <font>
      <b/>
      <sz val="28"/>
      <color theme="0"/>
      <name val="Open Sans"/>
      <family val="2"/>
    </font>
    <font>
      <sz val="72"/>
      <color theme="0"/>
      <name val="Open Sans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C3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/>
      <right/>
      <top style="medium">
        <color rgb="FF3271D2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 style="medium">
        <color rgb="FF3271D2"/>
      </bottom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C3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74" fillId="0" borderId="0"/>
  </cellStyleXfs>
  <cellXfs count="585">
    <xf numFmtId="0" fontId="0" fillId="0" borderId="0" xfId="0"/>
    <xf numFmtId="0" fontId="7" fillId="0" borderId="0" xfId="3" applyFont="1"/>
    <xf numFmtId="0" fontId="7" fillId="0" borderId="4" xfId="3" applyFont="1" applyBorder="1"/>
    <xf numFmtId="0" fontId="7" fillId="0" borderId="5" xfId="3" applyFont="1" applyBorder="1"/>
    <xf numFmtId="0" fontId="1" fillId="0" borderId="0" xfId="3" applyFont="1"/>
    <xf numFmtId="0" fontId="11" fillId="0" borderId="0" xfId="4" applyFont="1" applyFill="1" applyBorder="1"/>
    <xf numFmtId="164" fontId="12" fillId="0" borderId="0" xfId="4" applyNumberFormat="1" applyFont="1" applyFill="1" applyBorder="1"/>
    <xf numFmtId="164" fontId="11" fillId="0" borderId="0" xfId="3" applyNumberFormat="1" applyFont="1"/>
    <xf numFmtId="0" fontId="13" fillId="0" borderId="0" xfId="4" applyFont="1" applyFill="1" applyBorder="1" applyProtection="1">
      <protection locked="0"/>
    </xf>
    <xf numFmtId="165" fontId="14" fillId="0" borderId="0" xfId="4" applyNumberFormat="1" applyFont="1" applyFill="1" applyBorder="1" applyAlignment="1" applyProtection="1">
      <alignment horizontal="center"/>
      <protection locked="0"/>
    </xf>
    <xf numFmtId="164" fontId="14" fillId="0" borderId="0" xfId="4" applyNumberFormat="1" applyFont="1" applyFill="1" applyBorder="1" applyAlignment="1" applyProtection="1">
      <alignment horizontal="left"/>
      <protection locked="0"/>
    </xf>
    <xf numFmtId="0" fontId="11" fillId="0" borderId="0" xfId="0" applyFont="1"/>
    <xf numFmtId="164" fontId="12" fillId="0" borderId="0" xfId="5" applyNumberFormat="1" applyFont="1" applyFill="1" applyBorder="1" applyProtection="1">
      <protection locked="0"/>
    </xf>
    <xf numFmtId="0" fontId="16" fillId="0" borderId="6" xfId="3" applyFont="1" applyBorder="1" applyAlignment="1" applyProtection="1">
      <alignment horizontal="centerContinuous"/>
      <protection locked="0"/>
    </xf>
    <xf numFmtId="0" fontId="7" fillId="0" borderId="6" xfId="3" applyFont="1" applyBorder="1" applyAlignment="1">
      <alignment horizontal="centerContinuous"/>
    </xf>
    <xf numFmtId="0" fontId="1" fillId="0" borderId="6" xfId="3" applyFont="1" applyBorder="1" applyAlignment="1">
      <alignment horizontal="centerContinuous"/>
    </xf>
    <xf numFmtId="0" fontId="16" fillId="0" borderId="6" xfId="3" applyFont="1" applyBorder="1" applyAlignment="1" applyProtection="1">
      <alignment horizontal="left"/>
      <protection locked="0"/>
    </xf>
    <xf numFmtId="0" fontId="16" fillId="0" borderId="7" xfId="3" applyFont="1" applyBorder="1" applyProtection="1">
      <protection locked="0"/>
    </xf>
    <xf numFmtId="0" fontId="17" fillId="0" borderId="0" xfId="3" applyFont="1"/>
    <xf numFmtId="0" fontId="7" fillId="0" borderId="0" xfId="3" applyFont="1" applyProtection="1">
      <protection locked="0"/>
    </xf>
    <xf numFmtId="0" fontId="16" fillId="0" borderId="0" xfId="3" applyFont="1" applyAlignment="1">
      <alignment horizontal="right"/>
    </xf>
    <xf numFmtId="0" fontId="18" fillId="0" borderId="0" xfId="3" applyFont="1" applyProtection="1">
      <protection locked="0"/>
    </xf>
    <xf numFmtId="0" fontId="7" fillId="2" borderId="4" xfId="3" applyFont="1" applyFill="1" applyBorder="1"/>
    <xf numFmtId="0" fontId="7" fillId="2" borderId="0" xfId="3" applyFont="1" applyFill="1"/>
    <xf numFmtId="0" fontId="7" fillId="2" borderId="8" xfId="3" applyFont="1" applyFill="1" applyBorder="1"/>
    <xf numFmtId="0" fontId="7" fillId="2" borderId="9" xfId="3" applyFont="1" applyFill="1" applyBorder="1"/>
    <xf numFmtId="0" fontId="7" fillId="3" borderId="0" xfId="3" applyFont="1" applyFill="1"/>
    <xf numFmtId="0" fontId="7" fillId="0" borderId="0" xfId="0" applyFont="1"/>
    <xf numFmtId="0" fontId="7" fillId="0" borderId="10" xfId="0" applyFont="1" applyBorder="1"/>
    <xf numFmtId="0" fontId="20" fillId="0" borderId="0" xfId="0" applyFont="1"/>
    <xf numFmtId="167" fontId="21" fillId="0" borderId="0" xfId="0" quotePrefix="1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18" xfId="0" applyFont="1" applyBorder="1"/>
    <xf numFmtId="0" fontId="4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6" fillId="0" borderId="0" xfId="0" applyFont="1"/>
    <xf numFmtId="0" fontId="19" fillId="0" borderId="0" xfId="0" applyFont="1" applyAlignment="1">
      <alignment horizontal="left"/>
    </xf>
    <xf numFmtId="0" fontId="27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164" fontId="29" fillId="0" borderId="0" xfId="0" applyNumberFormat="1" applyFont="1" applyAlignment="1">
      <alignment vertical="center"/>
    </xf>
    <xf numFmtId="168" fontId="19" fillId="0" borderId="0" xfId="0" applyNumberFormat="1" applyFont="1"/>
    <xf numFmtId="0" fontId="7" fillId="0" borderId="0" xfId="0" applyFont="1" applyAlignment="1">
      <alignment horizontal="center"/>
    </xf>
    <xf numFmtId="37" fontId="30" fillId="0" borderId="0" xfId="0" applyNumberFormat="1" applyFont="1" applyAlignment="1">
      <alignment vertical="center"/>
    </xf>
    <xf numFmtId="174" fontId="31" fillId="0" borderId="0" xfId="0" applyNumberFormat="1" applyFont="1" applyAlignment="1">
      <alignment horizontal="right"/>
    </xf>
    <xf numFmtId="164" fontId="28" fillId="0" borderId="0" xfId="0" applyNumberFormat="1" applyFont="1" applyAlignment="1">
      <alignment horizontal="left" vertical="center"/>
    </xf>
    <xf numFmtId="175" fontId="31" fillId="0" borderId="0" xfId="0" applyNumberFormat="1" applyFont="1" applyAlignment="1">
      <alignment horizontal="right"/>
    </xf>
    <xf numFmtId="174" fontId="32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37" fontId="6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174" fontId="3" fillId="4" borderId="0" xfId="0" applyNumberFormat="1" applyFont="1" applyFill="1" applyAlignment="1">
      <alignment horizontal="right"/>
    </xf>
    <xf numFmtId="37" fontId="6" fillId="4" borderId="0" xfId="0" applyNumberFormat="1" applyFont="1" applyFill="1" applyAlignment="1">
      <alignment vertical="center"/>
    </xf>
    <xf numFmtId="37" fontId="3" fillId="4" borderId="0" xfId="0" applyNumberFormat="1" applyFont="1" applyFill="1" applyAlignment="1">
      <alignment vertical="center"/>
    </xf>
    <xf numFmtId="37" fontId="33" fillId="4" borderId="0" xfId="0" applyNumberFormat="1" applyFont="1" applyFill="1" applyAlignment="1">
      <alignment vertical="center"/>
    </xf>
    <xf numFmtId="176" fontId="7" fillId="0" borderId="0" xfId="6" applyNumberFormat="1" applyFont="1" applyProtection="1">
      <protection locked="0"/>
    </xf>
    <xf numFmtId="176" fontId="7" fillId="0" borderId="0" xfId="6" applyNumberFormat="1" applyFont="1" applyFill="1" applyProtection="1">
      <protection locked="0"/>
    </xf>
    <xf numFmtId="0" fontId="26" fillId="2" borderId="0" xfId="0" applyFont="1" applyFill="1"/>
    <xf numFmtId="0" fontId="36" fillId="2" borderId="0" xfId="4" applyFont="1" applyFill="1" applyAlignment="1">
      <alignment horizontal="center" vertical="center"/>
    </xf>
    <xf numFmtId="174" fontId="37" fillId="0" borderId="0" xfId="0" applyNumberFormat="1" applyFont="1" applyAlignment="1">
      <alignment horizontal="right" vertical="center"/>
    </xf>
    <xf numFmtId="169" fontId="34" fillId="0" borderId="0" xfId="1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176" fontId="39" fillId="0" borderId="0" xfId="6" applyNumberFormat="1" applyFont="1" applyAlignment="1" applyProtection="1">
      <alignment horizontal="center"/>
      <protection locked="0"/>
    </xf>
    <xf numFmtId="171" fontId="34" fillId="0" borderId="0" xfId="1" applyNumberFormat="1" applyFont="1" applyFill="1" applyBorder="1" applyAlignment="1">
      <alignment vertical="center"/>
    </xf>
    <xf numFmtId="171" fontId="34" fillId="0" borderId="0" xfId="2" applyNumberFormat="1" applyFont="1" applyFill="1" applyBorder="1" applyAlignment="1">
      <alignment horizontal="right" vertical="center"/>
    </xf>
    <xf numFmtId="0" fontId="40" fillId="0" borderId="0" xfId="0" quotePrefix="1" applyFont="1" applyAlignment="1">
      <alignment horizontal="center" vertical="center"/>
    </xf>
    <xf numFmtId="177" fontId="1" fillId="0" borderId="0" xfId="4" applyNumberFormat="1" applyFont="1" applyFill="1" applyBorder="1" applyAlignment="1" applyProtection="1">
      <alignment horizontal="right" vertical="center"/>
      <protection locked="0"/>
    </xf>
    <xf numFmtId="176" fontId="41" fillId="0" borderId="0" xfId="6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>
      <alignment vertical="center"/>
    </xf>
    <xf numFmtId="176" fontId="22" fillId="0" borderId="0" xfId="6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center"/>
    </xf>
    <xf numFmtId="166" fontId="19" fillId="0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78" fontId="34" fillId="0" borderId="0" xfId="2" applyNumberFormat="1" applyFont="1" applyFill="1" applyBorder="1" applyAlignment="1">
      <alignment vertical="center"/>
    </xf>
    <xf numFmtId="166" fontId="34" fillId="0" borderId="0" xfId="2" applyNumberFormat="1" applyFont="1" applyFill="1" applyBorder="1" applyAlignment="1">
      <alignment horizontal="right" vertical="center"/>
    </xf>
    <xf numFmtId="176" fontId="25" fillId="0" borderId="0" xfId="6" applyNumberFormat="1" applyFont="1" applyAlignment="1" applyProtection="1">
      <alignment horizontal="center"/>
      <protection locked="0"/>
    </xf>
    <xf numFmtId="166" fontId="34" fillId="0" borderId="0" xfId="2" applyNumberFormat="1" applyFont="1" applyFill="1" applyBorder="1" applyAlignment="1">
      <alignment vertical="center"/>
    </xf>
    <xf numFmtId="168" fontId="34" fillId="0" borderId="0" xfId="1" applyNumberFormat="1" applyFont="1" applyFill="1" applyBorder="1" applyAlignment="1">
      <alignment vertical="center"/>
    </xf>
    <xf numFmtId="176" fontId="25" fillId="0" borderId="0" xfId="6" applyNumberFormat="1" applyFont="1" applyBorder="1" applyAlignment="1" applyProtection="1">
      <alignment vertical="center"/>
      <protection locked="0"/>
    </xf>
    <xf numFmtId="176" fontId="1" fillId="0" borderId="0" xfId="6" applyNumberFormat="1" applyFont="1" applyBorder="1" applyAlignment="1" applyProtection="1">
      <alignment vertical="center"/>
      <protection locked="0"/>
    </xf>
    <xf numFmtId="168" fontId="34" fillId="0" borderId="18" xfId="1" applyNumberFormat="1" applyFont="1" applyFill="1" applyBorder="1" applyAlignment="1">
      <alignment vertical="center"/>
    </xf>
    <xf numFmtId="0" fontId="38" fillId="0" borderId="18" xfId="0" quotePrefix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0" xfId="0" applyFont="1"/>
    <xf numFmtId="0" fontId="5" fillId="0" borderId="0" xfId="0" applyFont="1"/>
    <xf numFmtId="0" fontId="7" fillId="0" borderId="19" xfId="0" applyFont="1" applyBorder="1"/>
    <xf numFmtId="0" fontId="5" fillId="0" borderId="19" xfId="0" applyFont="1" applyBorder="1"/>
    <xf numFmtId="168" fontId="34" fillId="0" borderId="0" xfId="0" applyNumberFormat="1" applyFont="1" applyAlignment="1">
      <alignment vertical="center"/>
    </xf>
    <xf numFmtId="176" fontId="25" fillId="0" borderId="0" xfId="6" applyNumberFormat="1" applyFont="1" applyAlignment="1" applyProtection="1">
      <alignment vertical="center"/>
      <protection locked="0"/>
    </xf>
    <xf numFmtId="177" fontId="19" fillId="0" borderId="0" xfId="4" applyNumberFormat="1" applyFont="1" applyFill="1" applyBorder="1" applyAlignment="1" applyProtection="1">
      <alignment horizontal="right" vertical="center"/>
      <protection locked="0"/>
    </xf>
    <xf numFmtId="168" fontId="34" fillId="0" borderId="0" xfId="1" applyNumberFormat="1" applyFont="1"/>
    <xf numFmtId="179" fontId="19" fillId="0" borderId="0" xfId="0" applyNumberFormat="1" applyFont="1" applyAlignment="1">
      <alignment horizontal="right" vertical="center"/>
    </xf>
    <xf numFmtId="0" fontId="38" fillId="0" borderId="0" xfId="0" quotePrefix="1" applyFont="1" applyAlignment="1">
      <alignment horizontal="center" vertical="center"/>
    </xf>
    <xf numFmtId="176" fontId="25" fillId="0" borderId="0" xfId="6" applyNumberFormat="1" applyFont="1" applyAlignment="1">
      <alignment horizontal="right"/>
    </xf>
    <xf numFmtId="180" fontId="34" fillId="0" borderId="0" xfId="0" applyNumberFormat="1" applyFont="1" applyAlignment="1">
      <alignment horizontal="right" vertical="center"/>
    </xf>
    <xf numFmtId="0" fontId="1" fillId="0" borderId="18" xfId="0" applyFont="1" applyBorder="1"/>
    <xf numFmtId="180" fontId="34" fillId="0" borderId="18" xfId="0" applyNumberFormat="1" applyFont="1" applyBorder="1" applyAlignment="1">
      <alignment horizontal="right" vertical="center"/>
    </xf>
    <xf numFmtId="0" fontId="7" fillId="0" borderId="18" xfId="0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166" fontId="43" fillId="0" borderId="0" xfId="0" applyNumberFormat="1" applyFont="1"/>
    <xf numFmtId="166" fontId="19" fillId="0" borderId="0" xfId="0" applyNumberFormat="1" applyFont="1"/>
    <xf numFmtId="176" fontId="7" fillId="0" borderId="0" xfId="6" applyNumberFormat="1" applyFont="1" applyFill="1" applyBorder="1" applyProtection="1">
      <protection locked="0"/>
    </xf>
    <xf numFmtId="176" fontId="39" fillId="0" borderId="0" xfId="6" applyNumberFormat="1" applyFont="1" applyAlignment="1">
      <alignment horizontal="right"/>
    </xf>
    <xf numFmtId="176" fontId="39" fillId="0" borderId="0" xfId="6" applyNumberFormat="1" applyFont="1" applyProtection="1">
      <protection locked="0"/>
    </xf>
    <xf numFmtId="173" fontId="34" fillId="0" borderId="0" xfId="0" applyNumberFormat="1" applyFont="1" applyAlignment="1">
      <alignment vertical="center"/>
    </xf>
    <xf numFmtId="173" fontId="34" fillId="0" borderId="10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6" fontId="19" fillId="0" borderId="20" xfId="0" applyNumberFormat="1" applyFont="1" applyBorder="1" applyAlignment="1">
      <alignment vertical="center"/>
    </xf>
    <xf numFmtId="0" fontId="19" fillId="0" borderId="0" xfId="0" applyFont="1" applyAlignment="1">
      <alignment horizontal="left" indent="1"/>
    </xf>
    <xf numFmtId="0" fontId="43" fillId="0" borderId="0" xfId="0" applyFont="1"/>
    <xf numFmtId="0" fontId="26" fillId="0" borderId="19" xfId="0" applyFont="1" applyBorder="1"/>
    <xf numFmtId="181" fontId="44" fillId="0" borderId="0" xfId="0" applyNumberFormat="1" applyFont="1" applyAlignment="1">
      <alignment horizontal="left" indent="1"/>
    </xf>
    <xf numFmtId="182" fontId="44" fillId="0" borderId="0" xfId="0" applyNumberFormat="1" applyFont="1" applyAlignment="1">
      <alignment horizontal="left" indent="1"/>
    </xf>
    <xf numFmtId="166" fontId="19" fillId="0" borderId="0" xfId="0" applyNumberFormat="1" applyFont="1" applyAlignment="1">
      <alignment vertical="center"/>
    </xf>
    <xf numFmtId="0" fontId="28" fillId="0" borderId="0" xfId="0" applyFont="1"/>
    <xf numFmtId="183" fontId="44" fillId="0" borderId="0" xfId="0" applyNumberFormat="1" applyFont="1" applyAlignment="1">
      <alignment horizontal="left" indent="1"/>
    </xf>
    <xf numFmtId="167" fontId="44" fillId="0" borderId="0" xfId="0" applyNumberFormat="1" applyFont="1" applyAlignment="1">
      <alignment horizontal="left" indent="1"/>
    </xf>
    <xf numFmtId="168" fontId="5" fillId="0" borderId="21" xfId="0" applyNumberFormat="1" applyFont="1" applyBorder="1" applyAlignment="1">
      <alignment horizontal="right" vertical="center"/>
    </xf>
    <xf numFmtId="0" fontId="25" fillId="0" borderId="18" xfId="0" applyFont="1" applyBorder="1" applyAlignment="1">
      <alignment vertical="center"/>
    </xf>
    <xf numFmtId="37" fontId="3" fillId="0" borderId="10" xfId="0" applyNumberFormat="1" applyFont="1" applyBorder="1" applyAlignment="1">
      <alignment vertical="center"/>
    </xf>
    <xf numFmtId="0" fontId="26" fillId="0" borderId="10" xfId="0" applyFont="1" applyBorder="1"/>
    <xf numFmtId="0" fontId="23" fillId="0" borderId="10" xfId="0" applyFont="1" applyBorder="1" applyAlignment="1">
      <alignment horizontal="left"/>
    </xf>
    <xf numFmtId="173" fontId="22" fillId="0" borderId="0" xfId="2" applyNumberFormat="1" applyFont="1" applyFill="1" applyBorder="1" applyAlignment="1">
      <alignment vertical="center"/>
    </xf>
    <xf numFmtId="0" fontId="39" fillId="0" borderId="0" xfId="0" applyFont="1"/>
    <xf numFmtId="0" fontId="22" fillId="0" borderId="0" xfId="0" applyFont="1" applyAlignment="1">
      <alignment horizontal="left" indent="1"/>
    </xf>
    <xf numFmtId="168" fontId="19" fillId="0" borderId="0" xfId="0" applyNumberFormat="1" applyFont="1" applyAlignment="1">
      <alignment vertical="center"/>
    </xf>
    <xf numFmtId="166" fontId="19" fillId="0" borderId="10" xfId="0" applyNumberFormat="1" applyFont="1" applyBorder="1" applyAlignment="1">
      <alignment vertical="center"/>
    </xf>
    <xf numFmtId="168" fontId="34" fillId="0" borderId="10" xfId="0" applyNumberFormat="1" applyFont="1" applyBorder="1" applyAlignment="1">
      <alignment vertical="center"/>
    </xf>
    <xf numFmtId="166" fontId="34" fillId="0" borderId="10" xfId="0" applyNumberFormat="1" applyFont="1" applyBorder="1" applyAlignment="1">
      <alignment vertical="center"/>
    </xf>
    <xf numFmtId="166" fontId="34" fillId="0" borderId="0" xfId="0" applyNumberFormat="1" applyFont="1" applyAlignment="1">
      <alignment vertical="center"/>
    </xf>
    <xf numFmtId="168" fontId="23" fillId="0" borderId="10" xfId="0" applyNumberFormat="1" applyFont="1" applyBorder="1" applyAlignment="1">
      <alignment horizontal="right"/>
    </xf>
    <xf numFmtId="170" fontId="19" fillId="0" borderId="0" xfId="0" applyNumberFormat="1" applyFont="1"/>
    <xf numFmtId="171" fontId="19" fillId="0" borderId="10" xfId="0" applyNumberFormat="1" applyFont="1" applyBorder="1" applyAlignment="1">
      <alignment horizontal="right" vertical="center"/>
    </xf>
    <xf numFmtId="49" fontId="19" fillId="0" borderId="0" xfId="0" applyNumberFormat="1" applyFont="1" applyAlignment="1">
      <alignment horizontal="left" indent="1"/>
    </xf>
    <xf numFmtId="171" fontId="19" fillId="0" borderId="0" xfId="0" applyNumberFormat="1" applyFont="1"/>
    <xf numFmtId="171" fontId="43" fillId="0" borderId="0" xfId="0" applyNumberFormat="1" applyFont="1"/>
    <xf numFmtId="171" fontId="34" fillId="0" borderId="0" xfId="0" applyNumberFormat="1" applyFont="1"/>
    <xf numFmtId="0" fontId="23" fillId="0" borderId="0" xfId="0" applyFont="1" applyAlignment="1">
      <alignment horizontal="center"/>
    </xf>
    <xf numFmtId="171" fontId="19" fillId="0" borderId="0" xfId="0" applyNumberFormat="1" applyFont="1" applyAlignment="1">
      <alignment horizontal="right" vertical="center"/>
    </xf>
    <xf numFmtId="173" fontId="19" fillId="0" borderId="0" xfId="2" applyNumberFormat="1" applyFont="1" applyBorder="1" applyAlignment="1">
      <alignment vertical="center"/>
    </xf>
    <xf numFmtId="171" fontId="19" fillId="0" borderId="19" xfId="0" applyNumberFormat="1" applyFont="1" applyBorder="1" applyAlignment="1">
      <alignment horizontal="center" vertical="center"/>
    </xf>
    <xf numFmtId="166" fontId="19" fillId="0" borderId="19" xfId="2" applyNumberFormat="1" applyFont="1" applyFill="1" applyBorder="1" applyAlignment="1">
      <alignment horizontal="center" vertical="center"/>
    </xf>
    <xf numFmtId="166" fontId="19" fillId="0" borderId="19" xfId="0" applyNumberFormat="1" applyFont="1" applyBorder="1" applyAlignment="1">
      <alignment horizontal="center" vertical="center"/>
    </xf>
    <xf numFmtId="174" fontId="31" fillId="0" borderId="19" xfId="0" applyNumberFormat="1" applyFont="1" applyBorder="1" applyAlignment="1">
      <alignment horizontal="left"/>
    </xf>
    <xf numFmtId="171" fontId="19" fillId="0" borderId="18" xfId="0" applyNumberFormat="1" applyFont="1" applyBorder="1" applyAlignment="1">
      <alignment horizontal="center" vertical="center"/>
    </xf>
    <xf numFmtId="166" fontId="19" fillId="0" borderId="18" xfId="2" applyNumberFormat="1" applyFont="1" applyFill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74" fontId="31" fillId="0" borderId="18" xfId="0" applyNumberFormat="1" applyFont="1" applyBorder="1" applyAlignment="1">
      <alignment horizontal="left"/>
    </xf>
    <xf numFmtId="171" fontId="19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right" vertical="center"/>
    </xf>
    <xf numFmtId="184" fontId="19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horizontal="right" vertical="center"/>
    </xf>
    <xf numFmtId="0" fontId="43" fillId="0" borderId="0" xfId="0" applyFont="1" applyAlignment="1">
      <alignment horizontal="left"/>
    </xf>
    <xf numFmtId="171" fontId="34" fillId="0" borderId="19" xfId="0" applyNumberFormat="1" applyFont="1" applyBorder="1" applyAlignment="1">
      <alignment horizontal="center" vertical="center"/>
    </xf>
    <xf numFmtId="173" fontId="19" fillId="0" borderId="19" xfId="2" applyNumberFormat="1" applyFont="1" applyFill="1" applyBorder="1" applyAlignment="1">
      <alignment horizontal="center" vertical="center"/>
    </xf>
    <xf numFmtId="166" fontId="34" fillId="0" borderId="19" xfId="0" applyNumberFormat="1" applyFont="1" applyBorder="1" applyAlignment="1">
      <alignment horizontal="center" vertical="center"/>
    </xf>
    <xf numFmtId="168" fontId="34" fillId="0" borderId="19" xfId="0" applyNumberFormat="1" applyFont="1" applyBorder="1" applyAlignment="1">
      <alignment horizontal="right" vertical="center"/>
    </xf>
    <xf numFmtId="37" fontId="34" fillId="0" borderId="19" xfId="0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1" fontId="34" fillId="0" borderId="0" xfId="0" applyNumberFormat="1" applyFont="1" applyAlignment="1">
      <alignment horizontal="center" vertical="center"/>
    </xf>
    <xf numFmtId="173" fontId="19" fillId="0" borderId="0" xfId="2" applyNumberFormat="1" applyFont="1" applyFill="1" applyBorder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37" fontId="34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68" fontId="23" fillId="0" borderId="22" xfId="0" applyNumberFormat="1" applyFont="1" applyBorder="1" applyAlignment="1">
      <alignment horizontal="right"/>
    </xf>
    <xf numFmtId="185" fontId="23" fillId="0" borderId="22" xfId="0" applyNumberFormat="1" applyFont="1" applyBorder="1" applyAlignment="1">
      <alignment horizontal="center"/>
    </xf>
    <xf numFmtId="168" fontId="23" fillId="0" borderId="22" xfId="0" applyNumberFormat="1" applyFont="1" applyBorder="1" applyAlignment="1">
      <alignment horizontal="center"/>
    </xf>
    <xf numFmtId="186" fontId="23" fillId="0" borderId="22" xfId="0" applyNumberFormat="1" applyFont="1" applyBorder="1" applyAlignment="1">
      <alignment horizontal="right"/>
    </xf>
    <xf numFmtId="0" fontId="23" fillId="0" borderId="22" xfId="0" applyFont="1" applyBorder="1" applyAlignment="1">
      <alignment horizontal="left"/>
    </xf>
    <xf numFmtId="0" fontId="5" fillId="0" borderId="0" xfId="0" applyFont="1" applyAlignment="1">
      <alignment horizontal="center"/>
    </xf>
    <xf numFmtId="168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left"/>
    </xf>
    <xf numFmtId="168" fontId="31" fillId="0" borderId="18" xfId="0" applyNumberFormat="1" applyFont="1" applyBorder="1" applyAlignment="1">
      <alignment horizontal="right"/>
    </xf>
    <xf numFmtId="168" fontId="31" fillId="0" borderId="18" xfId="0" applyNumberFormat="1" applyFont="1" applyBorder="1" applyAlignment="1">
      <alignment horizontal="center"/>
    </xf>
    <xf numFmtId="168" fontId="23" fillId="0" borderId="18" xfId="0" applyNumberFormat="1" applyFont="1" applyBorder="1" applyAlignment="1">
      <alignment horizontal="center"/>
    </xf>
    <xf numFmtId="0" fontId="32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37" fontId="47" fillId="0" borderId="0" xfId="0" applyNumberFormat="1" applyFont="1" applyAlignment="1">
      <alignment vertical="center"/>
    </xf>
    <xf numFmtId="37" fontId="33" fillId="0" borderId="0" xfId="0" applyNumberFormat="1" applyFont="1" applyAlignment="1">
      <alignment vertical="center"/>
    </xf>
    <xf numFmtId="168" fontId="19" fillId="0" borderId="11" xfId="0" applyNumberFormat="1" applyFont="1" applyBorder="1" applyAlignment="1">
      <alignment horizontal="right" vertical="center"/>
    </xf>
    <xf numFmtId="168" fontId="34" fillId="0" borderId="10" xfId="0" applyNumberFormat="1" applyFont="1" applyBorder="1" applyAlignment="1">
      <alignment horizontal="right" vertical="center"/>
    </xf>
    <xf numFmtId="168" fontId="34" fillId="0" borderId="12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indent="2"/>
    </xf>
    <xf numFmtId="168" fontId="19" fillId="0" borderId="13" xfId="0" applyNumberFormat="1" applyFont="1" applyBorder="1" applyAlignment="1">
      <alignment horizontal="right" vertical="center"/>
    </xf>
    <xf numFmtId="168" fontId="34" fillId="0" borderId="14" xfId="0" applyNumberFormat="1" applyFont="1" applyBorder="1" applyAlignment="1">
      <alignment horizontal="right" vertical="center"/>
    </xf>
    <xf numFmtId="168" fontId="19" fillId="0" borderId="15" xfId="0" applyNumberFormat="1" applyFont="1" applyBorder="1" applyAlignment="1">
      <alignment horizontal="right" vertical="center"/>
    </xf>
    <xf numFmtId="168" fontId="34" fillId="0" borderId="16" xfId="0" applyNumberFormat="1" applyFont="1" applyBorder="1" applyAlignment="1">
      <alignment horizontal="right" vertical="center"/>
    </xf>
    <xf numFmtId="168" fontId="34" fillId="0" borderId="17" xfId="0" applyNumberFormat="1" applyFont="1" applyBorder="1" applyAlignment="1">
      <alignment horizontal="right" vertical="center"/>
    </xf>
    <xf numFmtId="0" fontId="23" fillId="0" borderId="0" xfId="0" applyFont="1" applyAlignment="1">
      <alignment horizontal="left" indent="1"/>
    </xf>
    <xf numFmtId="166" fontId="34" fillId="0" borderId="0" xfId="0" applyNumberFormat="1" applyFont="1" applyAlignment="1">
      <alignment horizontal="right" vertical="center"/>
    </xf>
    <xf numFmtId="0" fontId="43" fillId="0" borderId="0" xfId="0" applyFont="1" applyAlignment="1">
      <alignment horizontal="right" vertical="center"/>
    </xf>
    <xf numFmtId="166" fontId="34" fillId="0" borderId="23" xfId="0" applyNumberFormat="1" applyFont="1" applyBorder="1" applyAlignment="1">
      <alignment horizontal="right" vertical="center"/>
    </xf>
    <xf numFmtId="166" fontId="34" fillId="0" borderId="24" xfId="0" applyNumberFormat="1" applyFont="1" applyBorder="1" applyAlignment="1">
      <alignment horizontal="right" vertical="center"/>
    </xf>
    <xf numFmtId="166" fontId="34" fillId="0" borderId="25" xfId="0" applyNumberFormat="1" applyFont="1" applyBorder="1" applyAlignment="1">
      <alignment horizontal="right" vertical="center"/>
    </xf>
    <xf numFmtId="168" fontId="34" fillId="0" borderId="1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indent="2"/>
    </xf>
    <xf numFmtId="168" fontId="34" fillId="0" borderId="13" xfId="0" applyNumberFormat="1" applyFont="1" applyBorder="1" applyAlignment="1">
      <alignment horizontal="right" vertical="center"/>
    </xf>
    <xf numFmtId="168" fontId="34" fillId="0" borderId="15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horizontal="right"/>
    </xf>
    <xf numFmtId="168" fontId="49" fillId="0" borderId="0" xfId="0" applyNumberFormat="1" applyFont="1" applyAlignment="1">
      <alignment horizontal="right" vertical="center"/>
    </xf>
    <xf numFmtId="168" fontId="50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8" fontId="23" fillId="0" borderId="26" xfId="2" applyNumberFormat="1" applyFont="1" applyFill="1" applyBorder="1" applyAlignment="1">
      <alignment horizontal="right" vertical="center"/>
    </xf>
    <xf numFmtId="168" fontId="23" fillId="0" borderId="27" xfId="2" applyNumberFormat="1" applyFont="1" applyFill="1" applyBorder="1" applyAlignment="1">
      <alignment horizontal="right" vertical="center"/>
    </xf>
    <xf numFmtId="168" fontId="23" fillId="0" borderId="28" xfId="2" applyNumberFormat="1" applyFont="1" applyFill="1" applyBorder="1" applyAlignment="1">
      <alignment horizontal="right" vertical="center"/>
    </xf>
    <xf numFmtId="166" fontId="34" fillId="0" borderId="11" xfId="0" applyNumberFormat="1" applyFont="1" applyBorder="1" applyAlignment="1">
      <alignment vertical="center"/>
    </xf>
    <xf numFmtId="166" fontId="34" fillId="0" borderId="12" xfId="0" applyNumberFormat="1" applyFont="1" applyBorder="1" applyAlignment="1">
      <alignment vertical="center"/>
    </xf>
    <xf numFmtId="166" fontId="34" fillId="0" borderId="13" xfId="0" applyNumberFormat="1" applyFont="1" applyBorder="1" applyAlignment="1">
      <alignment vertical="center"/>
    </xf>
    <xf numFmtId="166" fontId="34" fillId="0" borderId="14" xfId="0" applyNumberFormat="1" applyFont="1" applyBorder="1" applyAlignment="1">
      <alignment vertical="center"/>
    </xf>
    <xf numFmtId="166" fontId="34" fillId="0" borderId="15" xfId="0" applyNumberFormat="1" applyFont="1" applyBorder="1" applyAlignment="1">
      <alignment vertical="center"/>
    </xf>
    <xf numFmtId="166" fontId="34" fillId="0" borderId="16" xfId="0" applyNumberFormat="1" applyFont="1" applyBorder="1" applyAlignment="1">
      <alignment vertical="center"/>
    </xf>
    <xf numFmtId="166" fontId="34" fillId="0" borderId="17" xfId="0" applyNumberFormat="1" applyFont="1" applyBorder="1" applyAlignment="1">
      <alignment vertical="center"/>
    </xf>
    <xf numFmtId="166" fontId="11" fillId="0" borderId="0" xfId="0" applyNumberFormat="1" applyFont="1"/>
    <xf numFmtId="166" fontId="49" fillId="0" borderId="0" xfId="0" applyNumberFormat="1" applyFont="1" applyAlignment="1">
      <alignment horizontal="right" vertical="center"/>
    </xf>
    <xf numFmtId="166" fontId="50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166" fontId="23" fillId="0" borderId="26" xfId="2" applyNumberFormat="1" applyFont="1" applyFill="1" applyBorder="1" applyAlignment="1">
      <alignment vertical="center"/>
    </xf>
    <xf numFmtId="166" fontId="23" fillId="0" borderId="27" xfId="2" applyNumberFormat="1" applyFont="1" applyFill="1" applyBorder="1" applyAlignment="1">
      <alignment vertical="center"/>
    </xf>
    <xf numFmtId="166" fontId="23" fillId="0" borderId="28" xfId="2" applyNumberFormat="1" applyFont="1" applyFill="1" applyBorder="1" applyAlignment="1">
      <alignment vertical="center"/>
    </xf>
    <xf numFmtId="173" fontId="11" fillId="0" borderId="0" xfId="0" applyNumberFormat="1" applyFont="1"/>
    <xf numFmtId="173" fontId="49" fillId="0" borderId="0" xfId="0" applyNumberFormat="1" applyFont="1" applyAlignment="1">
      <alignment horizontal="right" vertical="center"/>
    </xf>
    <xf numFmtId="173" fontId="50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173" fontId="25" fillId="0" borderId="0" xfId="0" applyNumberFormat="1" applyFont="1" applyAlignment="1">
      <alignment horizontal="right" vertical="center"/>
    </xf>
    <xf numFmtId="187" fontId="49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175" fontId="31" fillId="0" borderId="20" xfId="0" applyNumberFormat="1" applyFont="1" applyBorder="1" applyAlignment="1">
      <alignment horizontal="right"/>
    </xf>
    <xf numFmtId="175" fontId="31" fillId="0" borderId="10" xfId="0" applyNumberFormat="1" applyFont="1" applyBorder="1" applyAlignment="1">
      <alignment horizontal="right"/>
    </xf>
    <xf numFmtId="174" fontId="31" fillId="0" borderId="10" xfId="0" applyNumberFormat="1" applyFont="1" applyBorder="1" applyAlignment="1">
      <alignment horizontal="right"/>
    </xf>
    <xf numFmtId="164" fontId="29" fillId="0" borderId="10" xfId="0" applyNumberFormat="1" applyFont="1" applyBorder="1" applyAlignment="1">
      <alignment vertical="center"/>
    </xf>
    <xf numFmtId="183" fontId="21" fillId="0" borderId="0" xfId="0" quotePrefix="1" applyNumberFormat="1" applyFont="1" applyAlignment="1">
      <alignment horizontal="right"/>
    </xf>
    <xf numFmtId="171" fontId="19" fillId="0" borderId="11" xfId="0" applyNumberFormat="1" applyFont="1" applyBorder="1"/>
    <xf numFmtId="0" fontId="51" fillId="0" borderId="10" xfId="0" applyFont="1" applyBorder="1" applyAlignment="1">
      <alignment horizontal="right"/>
    </xf>
    <xf numFmtId="0" fontId="43" fillId="0" borderId="12" xfId="0" applyFont="1" applyBorder="1" applyAlignment="1">
      <alignment horizontal="left" indent="1"/>
    </xf>
    <xf numFmtId="168" fontId="19" fillId="0" borderId="11" xfId="0" applyNumberFormat="1" applyFont="1" applyBorder="1"/>
    <xf numFmtId="168" fontId="43" fillId="0" borderId="11" xfId="0" applyNumberFormat="1" applyFont="1" applyBorder="1"/>
    <xf numFmtId="0" fontId="51" fillId="0" borderId="0" xfId="0" quotePrefix="1" applyFont="1" applyAlignment="1">
      <alignment horizontal="right"/>
    </xf>
    <xf numFmtId="0" fontId="43" fillId="0" borderId="14" xfId="0" applyFont="1" applyBorder="1" applyAlignment="1">
      <alignment horizontal="left" indent="1"/>
    </xf>
    <xf numFmtId="0" fontId="19" fillId="0" borderId="14" xfId="0" applyFont="1" applyBorder="1" applyAlignment="1">
      <alignment horizontal="left" indent="1"/>
    </xf>
    <xf numFmtId="168" fontId="19" fillId="0" borderId="15" xfId="0" applyNumberFormat="1" applyFont="1" applyBorder="1"/>
    <xf numFmtId="0" fontId="7" fillId="0" borderId="16" xfId="0" applyFont="1" applyBorder="1"/>
    <xf numFmtId="0" fontId="43" fillId="0" borderId="17" xfId="0" applyFont="1" applyBorder="1" applyAlignment="1">
      <alignment horizontal="left" indent="1"/>
    </xf>
    <xf numFmtId="0" fontId="31" fillId="0" borderId="0" xfId="0" applyFont="1" applyAlignment="1">
      <alignment horizontal="left"/>
    </xf>
    <xf numFmtId="178" fontId="22" fillId="0" borderId="10" xfId="0" applyNumberFormat="1" applyFont="1" applyBorder="1" applyAlignment="1">
      <alignment horizontal="right"/>
    </xf>
    <xf numFmtId="0" fontId="20" fillId="0" borderId="10" xfId="0" applyFont="1" applyBorder="1"/>
    <xf numFmtId="0" fontId="19" fillId="0" borderId="12" xfId="0" applyFont="1" applyBorder="1" applyAlignment="1">
      <alignment horizontal="left" indent="1"/>
    </xf>
    <xf numFmtId="174" fontId="43" fillId="0" borderId="0" xfId="0" applyNumberFormat="1" applyFont="1" applyAlignment="1">
      <alignment horizontal="right"/>
    </xf>
    <xf numFmtId="0" fontId="43" fillId="0" borderId="0" xfId="0" applyFont="1" applyAlignment="1">
      <alignment horizontal="left" indent="1"/>
    </xf>
    <xf numFmtId="188" fontId="43" fillId="0" borderId="0" xfId="0" applyNumberFormat="1" applyFont="1"/>
    <xf numFmtId="178" fontId="22" fillId="0" borderId="16" xfId="0" applyNumberFormat="1" applyFont="1" applyBorder="1" applyAlignment="1">
      <alignment horizontal="right"/>
    </xf>
    <xf numFmtId="0" fontId="20" fillId="0" borderId="16" xfId="0" applyFont="1" applyBorder="1"/>
    <xf numFmtId="0" fontId="19" fillId="0" borderId="17" xfId="0" applyFont="1" applyBorder="1" applyAlignment="1">
      <alignment horizontal="left" indent="1"/>
    </xf>
    <xf numFmtId="37" fontId="30" fillId="0" borderId="16" xfId="0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170" fontId="34" fillId="0" borderId="0" xfId="0" applyNumberFormat="1" applyFont="1"/>
    <xf numFmtId="168" fontId="19" fillId="0" borderId="0" xfId="0" applyNumberFormat="1" applyFont="1" applyAlignment="1">
      <alignment horizontal="right"/>
    </xf>
    <xf numFmtId="166" fontId="19" fillId="0" borderId="0" xfId="1" applyNumberFormat="1" applyFont="1" applyFill="1" applyBorder="1" applyAlignment="1">
      <alignment horizontal="right"/>
    </xf>
    <xf numFmtId="168" fontId="34" fillId="0" borderId="0" xfId="0" applyNumberFormat="1" applyFont="1" applyAlignment="1">
      <alignment horizontal="right"/>
    </xf>
    <xf numFmtId="170" fontId="23" fillId="0" borderId="0" xfId="0" applyNumberFormat="1" applyFont="1"/>
    <xf numFmtId="168" fontId="19" fillId="0" borderId="10" xfId="0" applyNumberFormat="1" applyFont="1" applyBorder="1"/>
    <xf numFmtId="168" fontId="34" fillId="0" borderId="10" xfId="0" applyNumberFormat="1" applyFont="1" applyBorder="1"/>
    <xf numFmtId="168" fontId="34" fillId="0" borderId="0" xfId="0" applyNumberFormat="1" applyFont="1"/>
    <xf numFmtId="168" fontId="19" fillId="0" borderId="10" xfId="0" applyNumberFormat="1" applyFont="1" applyBorder="1" applyAlignment="1">
      <alignment horizontal="right"/>
    </xf>
    <xf numFmtId="168" fontId="34" fillId="0" borderId="10" xfId="0" applyNumberFormat="1" applyFont="1" applyBorder="1" applyAlignment="1">
      <alignment horizontal="right"/>
    </xf>
    <xf numFmtId="171" fontId="19" fillId="0" borderId="29" xfId="1" applyNumberFormat="1" applyFont="1" applyFill="1" applyBorder="1" applyAlignment="1">
      <alignment horizontal="center"/>
    </xf>
    <xf numFmtId="168" fontId="53" fillId="0" borderId="30" xfId="0" applyNumberFormat="1" applyFont="1" applyBorder="1" applyAlignment="1">
      <alignment horizontal="center"/>
    </xf>
    <xf numFmtId="168" fontId="53" fillId="0" borderId="31" xfId="0" applyNumberFormat="1" applyFont="1" applyBorder="1" applyAlignment="1">
      <alignment horizontal="center"/>
    </xf>
    <xf numFmtId="189" fontId="55" fillId="0" borderId="0" xfId="2" applyNumberFormat="1" applyFont="1" applyFill="1" applyBorder="1" applyAlignment="1">
      <alignment horizontal="right"/>
    </xf>
    <xf numFmtId="188" fontId="56" fillId="0" borderId="0" xfId="0" applyNumberFormat="1" applyFont="1"/>
    <xf numFmtId="168" fontId="19" fillId="0" borderId="32" xfId="0" applyNumberFormat="1" applyFont="1" applyBorder="1"/>
    <xf numFmtId="168" fontId="34" fillId="0" borderId="12" xfId="0" applyNumberFormat="1" applyFont="1" applyBorder="1"/>
    <xf numFmtId="174" fontId="23" fillId="0" borderId="0" xfId="0" applyNumberFormat="1" applyFont="1" applyAlignment="1">
      <alignment horizontal="right"/>
    </xf>
    <xf numFmtId="37" fontId="57" fillId="0" borderId="0" xfId="0" applyNumberFormat="1" applyFont="1" applyAlignment="1">
      <alignment vertical="center"/>
    </xf>
    <xf numFmtId="168" fontId="19" fillId="0" borderId="31" xfId="0" applyNumberFormat="1" applyFont="1" applyBorder="1"/>
    <xf numFmtId="168" fontId="19" fillId="0" borderId="16" xfId="0" applyNumberFormat="1" applyFont="1" applyBorder="1"/>
    <xf numFmtId="168" fontId="34" fillId="0" borderId="17" xfId="0" applyNumberFormat="1" applyFont="1" applyBorder="1"/>
    <xf numFmtId="174" fontId="3" fillId="0" borderId="22" xfId="0" applyNumberFormat="1" applyFont="1" applyBorder="1" applyAlignment="1">
      <alignment horizontal="right"/>
    </xf>
    <xf numFmtId="188" fontId="56" fillId="0" borderId="33" xfId="0" applyNumberFormat="1" applyFont="1" applyBorder="1"/>
    <xf numFmtId="190" fontId="19" fillId="0" borderId="34" xfId="0" applyNumberFormat="1" applyFont="1" applyBorder="1" applyAlignment="1">
      <alignment horizontal="center"/>
    </xf>
    <xf numFmtId="190" fontId="19" fillId="0" borderId="0" xfId="0" applyNumberFormat="1" applyFont="1" applyAlignment="1">
      <alignment horizontal="center"/>
    </xf>
    <xf numFmtId="190" fontId="19" fillId="0" borderId="33" xfId="0" applyNumberFormat="1" applyFont="1" applyBorder="1" applyAlignment="1">
      <alignment horizontal="center"/>
    </xf>
    <xf numFmtId="168" fontId="53" fillId="0" borderId="0" xfId="0" applyNumberFormat="1" applyFont="1" applyAlignment="1">
      <alignment horizontal="left"/>
    </xf>
    <xf numFmtId="166" fontId="19" fillId="0" borderId="11" xfId="2" applyNumberFormat="1" applyFont="1" applyFill="1" applyBorder="1" applyAlignment="1">
      <alignment horizontal="right"/>
    </xf>
    <xf numFmtId="0" fontId="43" fillId="0" borderId="12" xfId="0" applyFont="1" applyBorder="1" applyAlignment="1">
      <alignment horizontal="left"/>
    </xf>
    <xf numFmtId="190" fontId="19" fillId="0" borderId="35" xfId="0" applyNumberFormat="1" applyFont="1" applyBorder="1" applyAlignment="1">
      <alignment horizontal="center"/>
    </xf>
    <xf numFmtId="169" fontId="19" fillId="0" borderId="15" xfId="2" applyNumberFormat="1" applyFont="1" applyFill="1" applyBorder="1" applyAlignment="1">
      <alignment horizontal="right"/>
    </xf>
    <xf numFmtId="0" fontId="43" fillId="0" borderId="17" xfId="0" applyFont="1" applyBorder="1" applyAlignment="1">
      <alignment horizontal="left"/>
    </xf>
    <xf numFmtId="0" fontId="58" fillId="0" borderId="36" xfId="0" applyFont="1" applyBorder="1" applyAlignment="1">
      <alignment horizontal="center"/>
    </xf>
    <xf numFmtId="0" fontId="58" fillId="0" borderId="18" xfId="0" applyFont="1" applyBorder="1" applyAlignment="1">
      <alignment horizontal="center"/>
    </xf>
    <xf numFmtId="0" fontId="58" fillId="0" borderId="37" xfId="0" applyFont="1" applyBorder="1" applyAlignment="1">
      <alignment horizontal="center"/>
    </xf>
    <xf numFmtId="168" fontId="53" fillId="0" borderId="36" xfId="0" applyNumberFormat="1" applyFont="1" applyBorder="1" applyAlignment="1">
      <alignment horizontal="center"/>
    </xf>
    <xf numFmtId="174" fontId="53" fillId="0" borderId="18" xfId="0" applyNumberFormat="1" applyFont="1" applyBorder="1" applyAlignment="1">
      <alignment horizontal="centerContinuous"/>
    </xf>
    <xf numFmtId="168" fontId="53" fillId="0" borderId="37" xfId="0" applyNumberFormat="1" applyFont="1" applyBorder="1" applyAlignment="1">
      <alignment horizontal="centerContinuous"/>
    </xf>
    <xf numFmtId="168" fontId="53" fillId="0" borderId="37" xfId="0" applyNumberFormat="1" applyFont="1" applyBorder="1" applyAlignment="1">
      <alignment horizontal="center"/>
    </xf>
    <xf numFmtId="0" fontId="59" fillId="4" borderId="0" xfId="0" applyFont="1" applyFill="1" applyAlignment="1">
      <alignment horizontal="right" vertical="center"/>
    </xf>
    <xf numFmtId="167" fontId="43" fillId="0" borderId="0" xfId="0" quotePrefix="1" applyNumberFormat="1" applyFont="1" applyAlignment="1">
      <alignment horizontal="right"/>
    </xf>
    <xf numFmtId="167" fontId="44" fillId="0" borderId="0" xfId="0" quotePrefix="1" applyNumberFormat="1" applyFont="1" applyAlignment="1">
      <alignment horizontal="right"/>
    </xf>
    <xf numFmtId="175" fontId="23" fillId="0" borderId="0" xfId="0" applyNumberFormat="1" applyFont="1" applyAlignment="1">
      <alignment horizontal="right"/>
    </xf>
    <xf numFmtId="171" fontId="19" fillId="0" borderId="15" xfId="0" applyNumberFormat="1" applyFont="1" applyBorder="1"/>
    <xf numFmtId="0" fontId="40" fillId="0" borderId="0" xfId="0" applyFont="1" applyAlignment="1">
      <alignment horizontal="right"/>
    </xf>
    <xf numFmtId="0" fontId="20" fillId="0" borderId="14" xfId="0" applyFont="1" applyBorder="1"/>
    <xf numFmtId="168" fontId="19" fillId="0" borderId="13" xfId="0" applyNumberFormat="1" applyFont="1" applyBorder="1"/>
    <xf numFmtId="0" fontId="40" fillId="0" borderId="0" xfId="0" quotePrefix="1" applyFont="1" applyAlignment="1">
      <alignment horizontal="right"/>
    </xf>
    <xf numFmtId="178" fontId="22" fillId="0" borderId="0" xfId="0" applyNumberFormat="1" applyFont="1" applyAlignment="1">
      <alignment horizontal="right"/>
    </xf>
    <xf numFmtId="168" fontId="19" fillId="0" borderId="29" xfId="0" applyNumberFormat="1" applyFont="1" applyBorder="1"/>
    <xf numFmtId="168" fontId="19" fillId="0" borderId="24" xfId="0" applyNumberFormat="1" applyFont="1" applyBorder="1"/>
    <xf numFmtId="168" fontId="19" fillId="0" borderId="25" xfId="0" applyNumberFormat="1" applyFont="1" applyBorder="1"/>
    <xf numFmtId="166" fontId="1" fillId="0" borderId="15" xfId="2" applyNumberFormat="1" applyFont="1" applyFill="1" applyBorder="1" applyAlignment="1">
      <alignment horizontal="right"/>
    </xf>
    <xf numFmtId="173" fontId="43" fillId="0" borderId="10" xfId="2" applyNumberFormat="1" applyFont="1" applyFill="1" applyBorder="1"/>
    <xf numFmtId="0" fontId="43" fillId="0" borderId="10" xfId="0" applyFont="1" applyBorder="1"/>
    <xf numFmtId="0" fontId="31" fillId="0" borderId="10" xfId="0" applyFont="1" applyBorder="1"/>
    <xf numFmtId="170" fontId="22" fillId="0" borderId="0" xfId="0" applyNumberFormat="1" applyFont="1"/>
    <xf numFmtId="174" fontId="61" fillId="0" borderId="0" xfId="0" applyNumberFormat="1" applyFont="1" applyAlignment="1">
      <alignment horizontal="right"/>
    </xf>
    <xf numFmtId="37" fontId="62" fillId="0" borderId="0" xfId="0" applyNumberFormat="1" applyFont="1" applyAlignment="1">
      <alignment vertical="center"/>
    </xf>
    <xf numFmtId="165" fontId="19" fillId="0" borderId="38" xfId="0" applyNumberFormat="1" applyFont="1" applyBorder="1" applyAlignment="1">
      <alignment horizontal="right"/>
    </xf>
    <xf numFmtId="165" fontId="19" fillId="0" borderId="39" xfId="0" applyNumberFormat="1" applyFont="1" applyBorder="1" applyAlignment="1">
      <alignment horizontal="right"/>
    </xf>
    <xf numFmtId="165" fontId="19" fillId="0" borderId="40" xfId="0" applyNumberFormat="1" applyFont="1" applyBorder="1" applyAlignment="1">
      <alignment horizontal="right"/>
    </xf>
    <xf numFmtId="0" fontId="50" fillId="0" borderId="0" xfId="0" applyFont="1" applyAlignment="1">
      <alignment horizontal="left" indent="1"/>
    </xf>
    <xf numFmtId="168" fontId="19" fillId="0" borderId="41" xfId="0" applyNumberFormat="1" applyFont="1" applyBorder="1" applyAlignment="1">
      <alignment vertical="center"/>
    </xf>
    <xf numFmtId="168" fontId="19" fillId="0" borderId="42" xfId="0" applyNumberFormat="1" applyFont="1" applyBorder="1" applyAlignment="1">
      <alignment vertical="center"/>
    </xf>
    <xf numFmtId="168" fontId="19" fillId="0" borderId="30" xfId="0" applyNumberFormat="1" applyFont="1" applyBorder="1"/>
    <xf numFmtId="172" fontId="34" fillId="0" borderId="0" xfId="0" applyNumberFormat="1" applyFont="1" applyAlignment="1">
      <alignment horizontal="right"/>
    </xf>
    <xf numFmtId="168" fontId="23" fillId="0" borderId="0" xfId="0" applyNumberFormat="1" applyFont="1"/>
    <xf numFmtId="178" fontId="19" fillId="0" borderId="11" xfId="0" applyNumberFormat="1" applyFont="1" applyBorder="1" applyAlignment="1">
      <alignment horizontal="right"/>
    </xf>
    <xf numFmtId="0" fontId="19" fillId="0" borderId="12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168" fontId="31" fillId="0" borderId="0" xfId="0" applyNumberFormat="1" applyFont="1" applyAlignment="1">
      <alignment horizontal="right"/>
    </xf>
    <xf numFmtId="168" fontId="43" fillId="0" borderId="0" xfId="0" applyNumberFormat="1" applyFont="1" applyAlignment="1">
      <alignment horizontal="right"/>
    </xf>
    <xf numFmtId="183" fontId="43" fillId="0" borderId="0" xfId="0" quotePrefix="1" applyNumberFormat="1" applyFont="1" applyAlignment="1">
      <alignment horizontal="right"/>
    </xf>
    <xf numFmtId="174" fontId="23" fillId="0" borderId="10" xfId="0" applyNumberFormat="1" applyFont="1" applyBorder="1" applyAlignment="1">
      <alignment horizontal="right"/>
    </xf>
    <xf numFmtId="37" fontId="63" fillId="0" borderId="10" xfId="0" applyNumberFormat="1" applyFont="1" applyBorder="1" applyAlignment="1">
      <alignment vertical="center"/>
    </xf>
    <xf numFmtId="164" fontId="28" fillId="0" borderId="10" xfId="0" applyNumberFormat="1" applyFont="1" applyBorder="1" applyAlignment="1">
      <alignment vertical="center"/>
    </xf>
    <xf numFmtId="168" fontId="31" fillId="0" borderId="10" xfId="0" applyNumberFormat="1" applyFont="1" applyBorder="1" applyAlignment="1">
      <alignment horizontal="right"/>
    </xf>
    <xf numFmtId="49" fontId="43" fillId="0" borderId="0" xfId="0" applyNumberFormat="1" applyFont="1" applyAlignment="1">
      <alignment horizontal="left" indent="1"/>
    </xf>
    <xf numFmtId="49" fontId="31" fillId="0" borderId="0" xfId="0" applyNumberFormat="1" applyFont="1" applyAlignment="1">
      <alignment horizontal="left"/>
    </xf>
    <xf numFmtId="173" fontId="65" fillId="0" borderId="0" xfId="2" applyNumberFormat="1" applyFont="1" applyBorder="1"/>
    <xf numFmtId="165" fontId="19" fillId="0" borderId="11" xfId="0" applyNumberFormat="1" applyFont="1" applyBorder="1" applyAlignment="1">
      <alignment horizontal="right"/>
    </xf>
    <xf numFmtId="49" fontId="19" fillId="0" borderId="12" xfId="0" applyNumberFormat="1" applyFont="1" applyBorder="1" applyAlignment="1">
      <alignment horizontal="left"/>
    </xf>
    <xf numFmtId="173" fontId="19" fillId="0" borderId="15" xfId="2" applyNumberFormat="1" applyFont="1" applyFill="1" applyBorder="1" applyAlignment="1"/>
    <xf numFmtId="37" fontId="63" fillId="0" borderId="16" xfId="0" applyNumberFormat="1" applyFont="1" applyBorder="1" applyAlignment="1">
      <alignment vertical="center"/>
    </xf>
    <xf numFmtId="191" fontId="19" fillId="0" borderId="0" xfId="0" applyNumberFormat="1" applyFont="1"/>
    <xf numFmtId="191" fontId="19" fillId="0" borderId="11" xfId="0" applyNumberFormat="1" applyFont="1" applyBorder="1"/>
    <xf numFmtId="191" fontId="19" fillId="0" borderId="10" xfId="0" applyNumberFormat="1" applyFont="1" applyBorder="1"/>
    <xf numFmtId="191" fontId="19" fillId="0" borderId="12" xfId="0" applyNumberFormat="1" applyFont="1" applyBorder="1"/>
    <xf numFmtId="168" fontId="19" fillId="0" borderId="17" xfId="0" applyNumberFormat="1" applyFont="1" applyBorder="1"/>
    <xf numFmtId="174" fontId="31" fillId="0" borderId="21" xfId="0" applyNumberFormat="1" applyFont="1" applyBorder="1" applyAlignment="1">
      <alignment horizontal="right"/>
    </xf>
    <xf numFmtId="166" fontId="19" fillId="0" borderId="0" xfId="2" applyNumberFormat="1" applyFont="1" applyFill="1" applyBorder="1" applyAlignment="1">
      <alignment horizontal="right"/>
    </xf>
    <xf numFmtId="166" fontId="43" fillId="0" borderId="0" xfId="2" applyNumberFormat="1" applyFont="1" applyFill="1" applyBorder="1" applyAlignment="1">
      <alignment horizontal="right"/>
    </xf>
    <xf numFmtId="0" fontId="31" fillId="0" borderId="0" xfId="0" applyFont="1"/>
    <xf numFmtId="168" fontId="43" fillId="0" borderId="0" xfId="0" applyNumberFormat="1" applyFont="1"/>
    <xf numFmtId="168" fontId="66" fillId="0" borderId="0" xfId="0" applyNumberFormat="1" applyFont="1"/>
    <xf numFmtId="37" fontId="30" fillId="0" borderId="10" xfId="0" applyNumberFormat="1" applyFont="1" applyBorder="1" applyAlignment="1">
      <alignment vertical="center"/>
    </xf>
    <xf numFmtId="172" fontId="19" fillId="0" borderId="0" xfId="0" applyNumberFormat="1" applyFont="1"/>
    <xf numFmtId="168" fontId="19" fillId="0" borderId="0" xfId="2" applyNumberFormat="1" applyFont="1"/>
    <xf numFmtId="192" fontId="19" fillId="0" borderId="0" xfId="0" applyNumberFormat="1" applyFont="1" applyAlignment="1">
      <alignment horizontal="left"/>
    </xf>
    <xf numFmtId="166" fontId="34" fillId="0" borderId="0" xfId="0" applyNumberFormat="1" applyFont="1" applyAlignment="1">
      <alignment horizontal="right"/>
    </xf>
    <xf numFmtId="166" fontId="43" fillId="0" borderId="11" xfId="2" applyNumberFormat="1" applyFont="1" applyFill="1" applyBorder="1"/>
    <xf numFmtId="37" fontId="57" fillId="0" borderId="10" xfId="0" applyNumberFormat="1" applyFont="1" applyBorder="1" applyAlignment="1">
      <alignment vertical="center"/>
    </xf>
    <xf numFmtId="37" fontId="57" fillId="0" borderId="16" xfId="0" applyNumberFormat="1" applyFont="1" applyBorder="1" applyAlignment="1">
      <alignment vertical="center"/>
    </xf>
    <xf numFmtId="168" fontId="19" fillId="0" borderId="23" xfId="0" applyNumberFormat="1" applyFont="1" applyBorder="1"/>
    <xf numFmtId="168" fontId="19" fillId="0" borderId="11" xfId="0" applyNumberFormat="1" applyFont="1" applyBorder="1" applyAlignment="1">
      <alignment horizontal="right"/>
    </xf>
    <xf numFmtId="170" fontId="19" fillId="0" borderId="11" xfId="0" applyNumberFormat="1" applyFont="1" applyBorder="1" applyAlignment="1">
      <alignment horizontal="left"/>
    </xf>
    <xf numFmtId="170" fontId="19" fillId="0" borderId="10" xfId="0" applyNumberFormat="1" applyFont="1" applyBorder="1" applyAlignment="1">
      <alignment horizontal="left"/>
    </xf>
    <xf numFmtId="175" fontId="31" fillId="0" borderId="12" xfId="0" applyNumberFormat="1" applyFont="1" applyBorder="1" applyAlignment="1">
      <alignment horizontal="left"/>
    </xf>
    <xf numFmtId="168" fontId="19" fillId="0" borderId="13" xfId="0" applyNumberFormat="1" applyFont="1" applyBorder="1" applyAlignment="1">
      <alignment horizontal="right"/>
    </xf>
    <xf numFmtId="170" fontId="19" fillId="0" borderId="13" xfId="0" applyNumberFormat="1" applyFont="1" applyBorder="1" applyAlignment="1">
      <alignment horizontal="left"/>
    </xf>
    <xf numFmtId="170" fontId="19" fillId="0" borderId="0" xfId="0" applyNumberFormat="1" applyFont="1" applyAlignment="1">
      <alignment horizontal="left"/>
    </xf>
    <xf numFmtId="175" fontId="31" fillId="0" borderId="14" xfId="0" applyNumberFormat="1" applyFont="1" applyBorder="1" applyAlignment="1">
      <alignment horizontal="left"/>
    </xf>
    <xf numFmtId="168" fontId="19" fillId="0" borderId="15" xfId="0" applyNumberFormat="1" applyFont="1" applyBorder="1" applyAlignment="1">
      <alignment horizontal="right"/>
    </xf>
    <xf numFmtId="168" fontId="19" fillId="0" borderId="16" xfId="0" applyNumberFormat="1" applyFont="1" applyBorder="1" applyAlignment="1">
      <alignment horizontal="right"/>
    </xf>
    <xf numFmtId="170" fontId="19" fillId="0" borderId="15" xfId="0" applyNumberFormat="1" applyFont="1" applyBorder="1" applyAlignment="1">
      <alignment horizontal="left"/>
    </xf>
    <xf numFmtId="170" fontId="19" fillId="0" borderId="16" xfId="0" applyNumberFormat="1" applyFont="1" applyBorder="1" applyAlignment="1">
      <alignment horizontal="left"/>
    </xf>
    <xf numFmtId="175" fontId="31" fillId="0" borderId="17" xfId="0" applyNumberFormat="1" applyFont="1" applyBorder="1" applyAlignment="1">
      <alignment horizontal="left"/>
    </xf>
    <xf numFmtId="193" fontId="31" fillId="0" borderId="0" xfId="0" applyNumberFormat="1" applyFont="1" applyAlignment="1">
      <alignment horizontal="right"/>
    </xf>
    <xf numFmtId="37" fontId="30" fillId="0" borderId="0" xfId="0" applyNumberFormat="1" applyFont="1" applyAlignment="1">
      <alignment horizontal="centerContinuous" vertical="center"/>
    </xf>
    <xf numFmtId="175" fontId="31" fillId="0" borderId="0" xfId="0" applyNumberFormat="1" applyFont="1" applyAlignment="1">
      <alignment horizontal="centerContinuous"/>
    </xf>
    <xf numFmtId="0" fontId="31" fillId="0" borderId="0" xfId="0" applyFont="1" applyAlignment="1">
      <alignment horizontal="centerContinuous"/>
    </xf>
    <xf numFmtId="166" fontId="19" fillId="0" borderId="11" xfId="0" applyNumberFormat="1" applyFont="1" applyBorder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175" fontId="43" fillId="0" borderId="11" xfId="0" applyNumberFormat="1" applyFont="1" applyBorder="1" applyAlignment="1">
      <alignment horizontal="left"/>
    </xf>
    <xf numFmtId="172" fontId="19" fillId="0" borderId="10" xfId="0" applyNumberFormat="1" applyFont="1" applyBorder="1" applyAlignment="1">
      <alignment horizontal="left"/>
    </xf>
    <xf numFmtId="166" fontId="19" fillId="0" borderId="13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75" fontId="43" fillId="0" borderId="13" xfId="0" applyNumberFormat="1" applyFont="1" applyBorder="1" applyAlignment="1">
      <alignment horizontal="left"/>
    </xf>
    <xf numFmtId="172" fontId="19" fillId="0" borderId="0" xfId="0" applyNumberFormat="1" applyFont="1" applyAlignment="1">
      <alignment horizontal="left"/>
    </xf>
    <xf numFmtId="166" fontId="19" fillId="0" borderId="15" xfId="0" applyNumberFormat="1" applyFont="1" applyBorder="1" applyAlignment="1">
      <alignment horizontal="right"/>
    </xf>
    <xf numFmtId="166" fontId="19" fillId="0" borderId="16" xfId="0" applyNumberFormat="1" applyFont="1" applyBorder="1" applyAlignment="1">
      <alignment horizontal="right"/>
    </xf>
    <xf numFmtId="175" fontId="43" fillId="0" borderId="15" xfId="0" applyNumberFormat="1" applyFont="1" applyBorder="1" applyAlignment="1">
      <alignment horizontal="left"/>
    </xf>
    <xf numFmtId="172" fontId="19" fillId="0" borderId="16" xfId="0" applyNumberFormat="1" applyFont="1" applyBorder="1" applyAlignment="1">
      <alignment horizontal="left"/>
    </xf>
    <xf numFmtId="0" fontId="56" fillId="0" borderId="0" xfId="0" applyFont="1" applyAlignment="1">
      <alignment horizontal="left"/>
    </xf>
    <xf numFmtId="178" fontId="19" fillId="0" borderId="0" xfId="0" applyNumberFormat="1" applyFont="1" applyAlignment="1">
      <alignment horizontal="right"/>
    </xf>
    <xf numFmtId="171" fontId="34" fillId="0" borderId="0" xfId="2" applyNumberFormat="1" applyFont="1" applyBorder="1" applyAlignment="1">
      <alignment horizontal="right"/>
    </xf>
    <xf numFmtId="178" fontId="19" fillId="0" borderId="10" xfId="0" applyNumberFormat="1" applyFont="1" applyBorder="1" applyAlignment="1">
      <alignment horizontal="right"/>
    </xf>
    <xf numFmtId="178" fontId="19" fillId="0" borderId="12" xfId="0" applyNumberFormat="1" applyFont="1" applyBorder="1" applyAlignment="1">
      <alignment horizontal="right"/>
    </xf>
    <xf numFmtId="178" fontId="43" fillId="0" borderId="11" xfId="0" applyNumberFormat="1" applyFont="1" applyBorder="1" applyAlignment="1">
      <alignment horizontal="right"/>
    </xf>
    <xf numFmtId="194" fontId="31" fillId="0" borderId="10" xfId="0" applyNumberFormat="1" applyFont="1" applyBorder="1" applyAlignment="1">
      <alignment horizontal="right"/>
    </xf>
    <xf numFmtId="171" fontId="43" fillId="0" borderId="15" xfId="2" applyNumberFormat="1" applyFont="1" applyBorder="1" applyAlignment="1">
      <alignment horizontal="right"/>
    </xf>
    <xf numFmtId="0" fontId="31" fillId="0" borderId="0" xfId="0" applyFont="1" applyAlignment="1">
      <alignment horizontal="right"/>
    </xf>
    <xf numFmtId="0" fontId="29" fillId="0" borderId="0" xfId="0" applyFont="1" applyAlignment="1">
      <alignment horizontal="right" vertical="center"/>
    </xf>
    <xf numFmtId="171" fontId="65" fillId="0" borderId="0" xfId="2" applyNumberFormat="1" applyFont="1" applyBorder="1" applyAlignment="1">
      <alignment horizontal="right"/>
    </xf>
    <xf numFmtId="0" fontId="68" fillId="0" borderId="0" xfId="0" applyFont="1"/>
    <xf numFmtId="178" fontId="19" fillId="0" borderId="23" xfId="0" applyNumberFormat="1" applyFont="1" applyBorder="1" applyAlignment="1">
      <alignment horizontal="right"/>
    </xf>
    <xf numFmtId="178" fontId="19" fillId="0" borderId="24" xfId="0" applyNumberFormat="1" applyFont="1" applyBorder="1" applyAlignment="1">
      <alignment horizontal="right"/>
    </xf>
    <xf numFmtId="170" fontId="34" fillId="0" borderId="13" xfId="0" applyNumberFormat="1" applyFont="1" applyBorder="1"/>
    <xf numFmtId="174" fontId="31" fillId="0" borderId="0" xfId="0" applyNumberFormat="1" applyFont="1" applyAlignment="1">
      <alignment horizontal="left"/>
    </xf>
    <xf numFmtId="168" fontId="43" fillId="0" borderId="11" xfId="0" applyNumberFormat="1" applyFont="1" applyBorder="1" applyAlignment="1">
      <alignment horizontal="right"/>
    </xf>
    <xf numFmtId="194" fontId="31" fillId="0" borderId="0" xfId="0" applyNumberFormat="1" applyFont="1" applyAlignment="1">
      <alignment horizontal="right"/>
    </xf>
    <xf numFmtId="171" fontId="43" fillId="0" borderId="15" xfId="2" applyNumberFormat="1" applyFont="1" applyFill="1" applyBorder="1" applyAlignment="1">
      <alignment horizontal="right"/>
    </xf>
    <xf numFmtId="167" fontId="43" fillId="0" borderId="0" xfId="0" applyNumberFormat="1" applyFont="1" applyAlignment="1">
      <alignment horizontal="left"/>
    </xf>
    <xf numFmtId="168" fontId="34" fillId="0" borderId="24" xfId="0" applyNumberFormat="1" applyFont="1" applyBorder="1"/>
    <xf numFmtId="168" fontId="34" fillId="0" borderId="25" xfId="0" applyNumberFormat="1" applyFont="1" applyBorder="1"/>
    <xf numFmtId="49" fontId="43" fillId="0" borderId="0" xfId="0" applyNumberFormat="1" applyFont="1" applyAlignment="1">
      <alignment horizontal="left"/>
    </xf>
    <xf numFmtId="9" fontId="31" fillId="0" borderId="0" xfId="2" applyFont="1" applyBorder="1" applyAlignment="1">
      <alignment horizontal="right"/>
    </xf>
    <xf numFmtId="0" fontId="51" fillId="0" borderId="0" xfId="0" applyFont="1" applyAlignment="1">
      <alignment horizontal="center"/>
    </xf>
    <xf numFmtId="0" fontId="19" fillId="0" borderId="10" xfId="0" applyFont="1" applyBorder="1"/>
    <xf numFmtId="170" fontId="43" fillId="0" borderId="0" xfId="0" applyNumberFormat="1" applyFont="1"/>
    <xf numFmtId="168" fontId="23" fillId="0" borderId="42" xfId="0" applyNumberFormat="1" applyFont="1" applyBorder="1" applyAlignment="1">
      <alignment vertical="center"/>
    </xf>
    <xf numFmtId="0" fontId="31" fillId="0" borderId="0" xfId="0" applyFont="1" applyAlignment="1">
      <alignment horizontal="left" indent="1"/>
    </xf>
    <xf numFmtId="168" fontId="19" fillId="0" borderId="12" xfId="0" applyNumberFormat="1" applyFont="1" applyBorder="1"/>
    <xf numFmtId="168" fontId="19" fillId="0" borderId="14" xfId="0" applyNumberFormat="1" applyFont="1" applyBorder="1"/>
    <xf numFmtId="170" fontId="49" fillId="0" borderId="0" xfId="0" applyNumberFormat="1" applyFont="1"/>
    <xf numFmtId="38" fontId="43" fillId="0" borderId="0" xfId="0" applyNumberFormat="1" applyFont="1"/>
    <xf numFmtId="40" fontId="43" fillId="0" borderId="0" xfId="0" applyNumberFormat="1" applyFont="1"/>
    <xf numFmtId="0" fontId="29" fillId="0" borderId="0" xfId="0" applyFont="1" applyAlignment="1">
      <alignment horizontal="center"/>
    </xf>
    <xf numFmtId="168" fontId="43" fillId="0" borderId="12" xfId="0" applyNumberFormat="1" applyFont="1" applyBorder="1"/>
    <xf numFmtId="168" fontId="43" fillId="0" borderId="13" xfId="0" applyNumberFormat="1" applyFont="1" applyBorder="1"/>
    <xf numFmtId="168" fontId="43" fillId="0" borderId="14" xfId="0" applyNumberFormat="1" applyFont="1" applyBorder="1"/>
    <xf numFmtId="168" fontId="43" fillId="0" borderId="15" xfId="0" applyNumberFormat="1" applyFont="1" applyBorder="1"/>
    <xf numFmtId="168" fontId="43" fillId="0" borderId="17" xfId="0" applyNumberFormat="1" applyFont="1" applyBorder="1"/>
    <xf numFmtId="175" fontId="23" fillId="0" borderId="20" xfId="0" applyNumberFormat="1" applyFont="1" applyBorder="1" applyAlignment="1">
      <alignment horizontal="right"/>
    </xf>
    <xf numFmtId="188" fontId="31" fillId="0" borderId="10" xfId="0" applyNumberFormat="1" applyFont="1" applyBorder="1"/>
    <xf numFmtId="0" fontId="69" fillId="0" borderId="0" xfId="0" applyFont="1"/>
    <xf numFmtId="188" fontId="31" fillId="0" borderId="0" xfId="0" applyNumberFormat="1" applyFont="1"/>
    <xf numFmtId="168" fontId="31" fillId="0" borderId="42" xfId="0" applyNumberFormat="1" applyFont="1" applyBorder="1" applyAlignment="1">
      <alignment horizontal="right" vertical="center"/>
    </xf>
    <xf numFmtId="168" fontId="43" fillId="0" borderId="30" xfId="0" applyNumberFormat="1" applyFont="1" applyBorder="1" applyAlignment="1">
      <alignment horizontal="right"/>
    </xf>
    <xf numFmtId="168" fontId="43" fillId="0" borderId="7" xfId="0" applyNumberFormat="1" applyFont="1" applyBorder="1" applyAlignment="1">
      <alignment horizontal="right"/>
    </xf>
    <xf numFmtId="168" fontId="34" fillId="0" borderId="7" xfId="0" applyNumberFormat="1" applyFont="1" applyBorder="1" applyAlignment="1">
      <alignment horizontal="right"/>
    </xf>
    <xf numFmtId="168" fontId="34" fillId="0" borderId="32" xfId="0" applyNumberFormat="1" applyFont="1" applyBorder="1" applyAlignment="1">
      <alignment horizontal="right"/>
    </xf>
    <xf numFmtId="168" fontId="43" fillId="0" borderId="10" xfId="0" applyNumberFormat="1" applyFont="1" applyBorder="1" applyAlignment="1">
      <alignment horizontal="right"/>
    </xf>
    <xf numFmtId="168" fontId="31" fillId="0" borderId="30" xfId="0" applyNumberFormat="1" applyFont="1" applyBorder="1" applyAlignment="1">
      <alignment horizontal="right"/>
    </xf>
    <xf numFmtId="168" fontId="19" fillId="0" borderId="32" xfId="0" applyNumberFormat="1" applyFont="1" applyBorder="1" applyAlignment="1">
      <alignment horizontal="right"/>
    </xf>
    <xf numFmtId="168" fontId="31" fillId="0" borderId="0" xfId="2" applyNumberFormat="1" applyFont="1" applyFill="1" applyAlignment="1">
      <alignment horizontal="right"/>
    </xf>
    <xf numFmtId="168" fontId="43" fillId="0" borderId="32" xfId="0" applyNumberFormat="1" applyFont="1" applyBorder="1" applyAlignment="1">
      <alignment horizontal="right"/>
    </xf>
    <xf numFmtId="168" fontId="31" fillId="0" borderId="30" xfId="2" applyNumberFormat="1" applyFont="1" applyFill="1" applyBorder="1" applyAlignment="1">
      <alignment horizontal="right"/>
    </xf>
    <xf numFmtId="168" fontId="31" fillId="0" borderId="0" xfId="2" applyNumberFormat="1" applyFont="1" applyFill="1" applyBorder="1" applyAlignment="1">
      <alignment horizontal="right"/>
    </xf>
    <xf numFmtId="168" fontId="70" fillId="0" borderId="0" xfId="2" applyNumberFormat="1" applyFont="1" applyFill="1" applyAlignment="1">
      <alignment horizontal="right"/>
    </xf>
    <xf numFmtId="168" fontId="43" fillId="0" borderId="31" xfId="0" applyNumberFormat="1" applyFont="1" applyBorder="1" applyAlignment="1">
      <alignment horizontal="right"/>
    </xf>
    <xf numFmtId="173" fontId="19" fillId="0" borderId="11" xfId="2" applyNumberFormat="1" applyFont="1" applyFill="1" applyBorder="1" applyAlignment="1"/>
    <xf numFmtId="195" fontId="43" fillId="0" borderId="15" xfId="1" applyNumberFormat="1" applyFont="1" applyFill="1" applyBorder="1" applyAlignment="1">
      <alignment horizontal="right"/>
    </xf>
    <xf numFmtId="0" fontId="1" fillId="0" borderId="17" xfId="0" applyFont="1" applyBorder="1" applyAlignment="1">
      <alignment vertical="center"/>
    </xf>
    <xf numFmtId="166" fontId="34" fillId="0" borderId="0" xfId="0" applyNumberFormat="1" applyFont="1"/>
    <xf numFmtId="166" fontId="19" fillId="0" borderId="29" xfId="0" applyNumberFormat="1" applyFont="1" applyBorder="1"/>
    <xf numFmtId="166" fontId="19" fillId="0" borderId="24" xfId="0" applyNumberFormat="1" applyFont="1" applyBorder="1"/>
    <xf numFmtId="166" fontId="19" fillId="0" borderId="25" xfId="0" applyNumberFormat="1" applyFont="1" applyBorder="1"/>
    <xf numFmtId="173" fontId="34" fillId="0" borderId="10" xfId="2" applyNumberFormat="1" applyFont="1" applyFill="1" applyBorder="1"/>
    <xf numFmtId="0" fontId="5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171" fontId="19" fillId="0" borderId="30" xfId="0" applyNumberFormat="1" applyFont="1" applyBorder="1"/>
    <xf numFmtId="171" fontId="19" fillId="0" borderId="32" xfId="0" applyNumberFormat="1" applyFont="1" applyBorder="1"/>
    <xf numFmtId="171" fontId="19" fillId="0" borderId="10" xfId="0" applyNumberFormat="1" applyFont="1" applyBorder="1"/>
    <xf numFmtId="171" fontId="19" fillId="0" borderId="31" xfId="0" applyNumberFormat="1" applyFont="1" applyBorder="1"/>
    <xf numFmtId="173" fontId="19" fillId="0" borderId="0" xfId="2" applyNumberFormat="1" applyFont="1" applyFill="1" applyBorder="1"/>
    <xf numFmtId="170" fontId="19" fillId="0" borderId="10" xfId="0" applyNumberFormat="1" applyFont="1" applyBorder="1"/>
    <xf numFmtId="173" fontId="19" fillId="0" borderId="10" xfId="2" applyNumberFormat="1" applyFont="1" applyFill="1" applyBorder="1"/>
    <xf numFmtId="168" fontId="43" fillId="0" borderId="30" xfId="0" applyNumberFormat="1" applyFont="1" applyBorder="1"/>
    <xf numFmtId="168" fontId="43" fillId="0" borderId="10" xfId="0" applyNumberFormat="1" applyFont="1" applyBorder="1"/>
    <xf numFmtId="0" fontId="69" fillId="0" borderId="30" xfId="0" applyFont="1" applyBorder="1"/>
    <xf numFmtId="0" fontId="22" fillId="0" borderId="0" xfId="0" applyFont="1" applyAlignment="1">
      <alignment horizontal="left"/>
    </xf>
    <xf numFmtId="171" fontId="43" fillId="0" borderId="32" xfId="0" applyNumberFormat="1" applyFont="1" applyBorder="1"/>
    <xf numFmtId="171" fontId="43" fillId="0" borderId="10" xfId="0" applyNumberFormat="1" applyFont="1" applyBorder="1"/>
    <xf numFmtId="171" fontId="34" fillId="0" borderId="10" xfId="0" applyNumberFormat="1" applyFont="1" applyBorder="1"/>
    <xf numFmtId="171" fontId="43" fillId="0" borderId="30" xfId="0" applyNumberFormat="1" applyFont="1" applyBorder="1"/>
    <xf numFmtId="171" fontId="43" fillId="0" borderId="31" xfId="0" applyNumberFormat="1" applyFont="1" applyBorder="1"/>
    <xf numFmtId="170" fontId="71" fillId="0" borderId="0" xfId="0" applyNumberFormat="1" applyFont="1" applyAlignment="1">
      <alignment horizontal="centerContinuous"/>
    </xf>
    <xf numFmtId="166" fontId="19" fillId="0" borderId="32" xfId="0" applyNumberFormat="1" applyFont="1" applyBorder="1"/>
    <xf numFmtId="166" fontId="19" fillId="0" borderId="10" xfId="0" applyNumberFormat="1" applyFont="1" applyBorder="1"/>
    <xf numFmtId="166" fontId="34" fillId="0" borderId="10" xfId="0" applyNumberFormat="1" applyFont="1" applyBorder="1"/>
    <xf numFmtId="166" fontId="34" fillId="0" borderId="12" xfId="0" applyNumberFormat="1" applyFont="1" applyBorder="1"/>
    <xf numFmtId="165" fontId="19" fillId="0" borderId="38" xfId="0" applyNumberFormat="1" applyFont="1" applyBorder="1"/>
    <xf numFmtId="165" fontId="19" fillId="0" borderId="39" xfId="0" applyNumberFormat="1" applyFont="1" applyBorder="1"/>
    <xf numFmtId="165" fontId="19" fillId="0" borderId="40" xfId="0" applyNumberFormat="1" applyFont="1" applyBorder="1"/>
    <xf numFmtId="196" fontId="51" fillId="0" borderId="0" xfId="0" applyNumberFormat="1" applyFont="1" applyAlignment="1">
      <alignment horizontal="left" indent="1"/>
    </xf>
    <xf numFmtId="168" fontId="19" fillId="0" borderId="43" xfId="0" applyNumberFormat="1" applyFont="1" applyBorder="1" applyAlignment="1">
      <alignment vertical="center"/>
    </xf>
    <xf numFmtId="170" fontId="19" fillId="0" borderId="30" xfId="0" applyNumberFormat="1" applyFont="1" applyBorder="1"/>
    <xf numFmtId="173" fontId="19" fillId="0" borderId="30" xfId="2" applyNumberFormat="1" applyFont="1" applyFill="1" applyBorder="1" applyAlignment="1"/>
    <xf numFmtId="173" fontId="19" fillId="0" borderId="29" xfId="2" quotePrefix="1" applyNumberFormat="1" applyFont="1" applyFill="1" applyBorder="1" applyAlignment="1">
      <alignment horizontal="right"/>
    </xf>
    <xf numFmtId="166" fontId="19" fillId="0" borderId="16" xfId="0" applyNumberFormat="1" applyFont="1" applyBorder="1"/>
    <xf numFmtId="168" fontId="19" fillId="0" borderId="30" xfId="0" quotePrefix="1" applyNumberFormat="1" applyFont="1" applyBorder="1" applyAlignment="1">
      <alignment horizontal="right"/>
    </xf>
    <xf numFmtId="166" fontId="19" fillId="0" borderId="30" xfId="0" applyNumberFormat="1" applyFont="1" applyBorder="1"/>
    <xf numFmtId="166" fontId="19" fillId="0" borderId="31" xfId="0" applyNumberFormat="1" applyFont="1" applyBorder="1"/>
    <xf numFmtId="197" fontId="34" fillId="0" borderId="0" xfId="0" applyNumberFormat="1" applyFont="1"/>
    <xf numFmtId="168" fontId="43" fillId="0" borderId="23" xfId="0" applyNumberFormat="1" applyFont="1" applyBorder="1"/>
    <xf numFmtId="168" fontId="43" fillId="0" borderId="24" xfId="0" applyNumberFormat="1" applyFont="1" applyBorder="1"/>
    <xf numFmtId="0" fontId="59" fillId="0" borderId="0" xfId="0" applyFont="1" applyAlignment="1">
      <alignment horizontal="right" vertical="center"/>
    </xf>
    <xf numFmtId="198" fontId="72" fillId="0" borderId="0" xfId="6" applyNumberFormat="1" applyFont="1" applyAlignment="1" applyProtection="1">
      <alignment horizontal="center"/>
      <protection locked="0"/>
    </xf>
    <xf numFmtId="176" fontId="72" fillId="0" borderId="0" xfId="6" applyNumberFormat="1" applyFont="1" applyProtection="1">
      <protection locked="0"/>
    </xf>
    <xf numFmtId="176" fontId="73" fillId="0" borderId="0" xfId="6" applyNumberFormat="1" applyFont="1" applyAlignment="1" applyProtection="1">
      <protection locked="0"/>
    </xf>
    <xf numFmtId="176" fontId="73" fillId="0" borderId="0" xfId="6" applyNumberFormat="1" applyFont="1" applyAlignment="1" applyProtection="1">
      <alignment horizontal="center"/>
      <protection locked="0"/>
    </xf>
    <xf numFmtId="0" fontId="26" fillId="5" borderId="0" xfId="0" applyFont="1" applyFill="1"/>
    <xf numFmtId="173" fontId="34" fillId="0" borderId="0" xfId="2" applyNumberFormat="1" applyFont="1" applyFill="1" applyBorder="1" applyAlignment="1">
      <alignment vertical="center"/>
    </xf>
    <xf numFmtId="173" fontId="34" fillId="0" borderId="18" xfId="1" applyNumberFormat="1" applyFont="1" applyFill="1" applyBorder="1" applyAlignment="1">
      <alignment vertical="center"/>
    </xf>
    <xf numFmtId="176" fontId="22" fillId="0" borderId="0" xfId="7" applyNumberFormat="1" applyFont="1" applyFill="1" applyBorder="1" applyAlignment="1">
      <alignment horizontal="right" vertical="center"/>
    </xf>
    <xf numFmtId="176" fontId="41" fillId="0" borderId="0" xfId="7" applyNumberFormat="1" applyFont="1" applyFill="1" applyBorder="1" applyAlignment="1" applyProtection="1">
      <alignment vertical="center"/>
      <protection locked="0"/>
    </xf>
    <xf numFmtId="176" fontId="25" fillId="0" borderId="0" xfId="7" applyNumberFormat="1" applyFont="1" applyBorder="1" applyAlignment="1">
      <alignment horizontal="right"/>
    </xf>
    <xf numFmtId="168" fontId="34" fillId="0" borderId="0" xfId="6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1" fillId="0" borderId="18" xfId="0" applyFont="1" applyBorder="1" applyAlignment="1">
      <alignment horizontal="left" vertical="center" indent="1"/>
    </xf>
    <xf numFmtId="166" fontId="34" fillId="0" borderId="18" xfId="2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178" fontId="34" fillId="0" borderId="18" xfId="2" applyNumberFormat="1" applyFont="1" applyFill="1" applyBorder="1" applyAlignment="1">
      <alignment vertical="center"/>
    </xf>
    <xf numFmtId="171" fontId="34" fillId="0" borderId="0" xfId="6" applyNumberFormat="1" applyFont="1" applyFill="1" applyBorder="1" applyAlignment="1">
      <alignment vertical="center"/>
    </xf>
    <xf numFmtId="176" fontId="7" fillId="0" borderId="0" xfId="7" applyNumberFormat="1" applyFont="1" applyProtection="1">
      <protection locked="0"/>
    </xf>
    <xf numFmtId="166" fontId="34" fillId="0" borderId="17" xfId="0" applyNumberFormat="1" applyFont="1" applyBorder="1" applyAlignment="1">
      <alignment horizontal="right" vertical="center"/>
    </xf>
    <xf numFmtId="166" fontId="34" fillId="0" borderId="16" xfId="0" applyNumberFormat="1" applyFont="1" applyBorder="1" applyAlignment="1">
      <alignment horizontal="right" vertical="center"/>
    </xf>
    <xf numFmtId="166" fontId="34" fillId="0" borderId="15" xfId="0" applyNumberFormat="1" applyFont="1" applyBorder="1" applyAlignment="1">
      <alignment horizontal="right" vertical="center"/>
    </xf>
    <xf numFmtId="166" fontId="34" fillId="0" borderId="12" xfId="0" applyNumberFormat="1" applyFont="1" applyBorder="1" applyAlignment="1">
      <alignment horizontal="right" vertical="center"/>
    </xf>
    <xf numFmtId="166" fontId="34" fillId="0" borderId="10" xfId="0" applyNumberFormat="1" applyFont="1" applyBorder="1" applyAlignment="1">
      <alignment horizontal="right" vertical="center"/>
    </xf>
    <xf numFmtId="166" fontId="34" fillId="0" borderId="11" xfId="0" applyNumberFormat="1" applyFont="1" applyBorder="1" applyAlignment="1">
      <alignment horizontal="right" vertical="center"/>
    </xf>
    <xf numFmtId="200" fontId="34" fillId="0" borderId="0" xfId="0" applyNumberFormat="1" applyFont="1"/>
    <xf numFmtId="200" fontId="43" fillId="0" borderId="0" xfId="0" applyNumberFormat="1" applyFont="1"/>
    <xf numFmtId="200" fontId="19" fillId="0" borderId="31" xfId="0" applyNumberFormat="1" applyFont="1" applyBorder="1"/>
    <xf numFmtId="200" fontId="19" fillId="0" borderId="0" xfId="0" applyNumberFormat="1" applyFont="1"/>
    <xf numFmtId="200" fontId="19" fillId="0" borderId="30" xfId="0" applyNumberFormat="1" applyFont="1" applyBorder="1"/>
    <xf numFmtId="174" fontId="31" fillId="0" borderId="21" xfId="0" applyNumberFormat="1" applyFont="1" applyBorder="1" applyAlignment="1">
      <alignment horizontal="right" vertical="center"/>
    </xf>
    <xf numFmtId="175" fontId="31" fillId="0" borderId="20" xfId="0" applyNumberFormat="1" applyFont="1" applyBorder="1" applyAlignment="1">
      <alignment horizontal="right" vertical="center"/>
    </xf>
    <xf numFmtId="0" fontId="43" fillId="0" borderId="0" xfId="0" applyFont="1" applyAlignment="1">
      <alignment horizontal="left" indent="2"/>
    </xf>
    <xf numFmtId="170" fontId="7" fillId="0" borderId="0" xfId="0" applyNumberFormat="1" applyFont="1"/>
    <xf numFmtId="0" fontId="0" fillId="0" borderId="0" xfId="0" applyAlignment="1">
      <alignment horizontal="left" indent="1"/>
    </xf>
    <xf numFmtId="173" fontId="34" fillId="0" borderId="0" xfId="2" applyNumberFormat="1" applyFont="1" applyFill="1" applyBorder="1"/>
    <xf numFmtId="168" fontId="26" fillId="0" borderId="0" xfId="0" applyNumberFormat="1" applyFont="1"/>
    <xf numFmtId="37" fontId="1" fillId="4" borderId="0" xfId="0" applyNumberFormat="1" applyFont="1" applyFill="1" applyAlignment="1">
      <alignment vertical="center"/>
    </xf>
    <xf numFmtId="201" fontId="29" fillId="4" borderId="0" xfId="0" applyNumberFormat="1" applyFont="1" applyFill="1" applyAlignment="1">
      <alignment horizontal="centerContinuous"/>
    </xf>
    <xf numFmtId="201" fontId="31" fillId="4" borderId="0" xfId="0" applyNumberFormat="1" applyFont="1" applyFill="1" applyAlignment="1">
      <alignment horizontal="centerContinuous"/>
    </xf>
    <xf numFmtId="0" fontId="43" fillId="0" borderId="10" xfId="0" applyFont="1" applyBorder="1" applyAlignment="1">
      <alignment horizontal="left" indent="1"/>
    </xf>
    <xf numFmtId="168" fontId="19" fillId="6" borderId="0" xfId="0" applyNumberFormat="1" applyFont="1" applyFill="1"/>
    <xf numFmtId="168" fontId="43" fillId="7" borderId="0" xfId="0" applyNumberFormat="1" applyFont="1" applyFill="1" applyAlignment="1">
      <alignment horizontal="right"/>
    </xf>
    <xf numFmtId="168" fontId="43" fillId="7" borderId="10" xfId="0" applyNumberFormat="1" applyFont="1" applyFill="1" applyBorder="1" applyAlignment="1">
      <alignment horizontal="right"/>
    </xf>
    <xf numFmtId="168" fontId="31" fillId="7" borderId="0" xfId="0" applyNumberFormat="1" applyFont="1" applyFill="1" applyAlignment="1">
      <alignment horizontal="right"/>
    </xf>
    <xf numFmtId="168" fontId="31" fillId="7" borderId="42" xfId="0" applyNumberFormat="1" applyFont="1" applyFill="1" applyBorder="1" applyAlignment="1">
      <alignment horizontal="right" vertical="center"/>
    </xf>
    <xf numFmtId="168" fontId="19" fillId="7" borderId="10" xfId="0" applyNumberFormat="1" applyFont="1" applyFill="1" applyBorder="1"/>
    <xf numFmtId="168" fontId="19" fillId="6" borderId="10" xfId="0" applyNumberFormat="1" applyFont="1" applyFill="1" applyBorder="1"/>
    <xf numFmtId="166" fontId="19" fillId="6" borderId="0" xfId="0" applyNumberFormat="1" applyFont="1" applyFill="1"/>
    <xf numFmtId="173" fontId="19" fillId="6" borderId="0" xfId="0" applyNumberFormat="1" applyFont="1" applyFill="1"/>
    <xf numFmtId="37" fontId="63" fillId="0" borderId="0" xfId="0" applyNumberFormat="1" applyFont="1" applyAlignment="1">
      <alignment vertical="center"/>
    </xf>
    <xf numFmtId="202" fontId="19" fillId="0" borderId="13" xfId="2" applyNumberFormat="1" applyFont="1" applyFill="1" applyBorder="1" applyAlignment="1"/>
    <xf numFmtId="202" fontId="43" fillId="0" borderId="15" xfId="0" applyNumberFormat="1" applyFont="1" applyBorder="1" applyAlignment="1">
      <alignment horizontal="right"/>
    </xf>
    <xf numFmtId="166" fontId="19" fillId="7" borderId="0" xfId="0" applyNumberFormat="1" applyFont="1" applyFill="1"/>
    <xf numFmtId="0" fontId="9" fillId="0" borderId="0" xfId="3" applyFont="1"/>
    <xf numFmtId="164" fontId="8" fillId="0" borderId="0" xfId="3" applyNumberFormat="1" applyFont="1"/>
    <xf numFmtId="0" fontId="6" fillId="0" borderId="0" xfId="3" applyFont="1"/>
    <xf numFmtId="0" fontId="7" fillId="0" borderId="3" xfId="3" applyFont="1" applyBorder="1"/>
    <xf numFmtId="0" fontId="7" fillId="0" borderId="2" xfId="3" applyFont="1" applyBorder="1"/>
    <xf numFmtId="0" fontId="7" fillId="0" borderId="1" xfId="3" applyFont="1" applyBorder="1"/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168" fontId="1" fillId="0" borderId="47" xfId="0" applyNumberFormat="1" applyFont="1" applyBorder="1" applyAlignment="1">
      <alignment horizontal="center"/>
    </xf>
    <xf numFmtId="168" fontId="1" fillId="0" borderId="46" xfId="0" applyNumberFormat="1" applyFont="1" applyBorder="1" applyAlignment="1">
      <alignment horizontal="center"/>
    </xf>
    <xf numFmtId="168" fontId="1" fillId="0" borderId="48" xfId="0" applyNumberFormat="1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76" fillId="5" borderId="44" xfId="0" applyFont="1" applyFill="1" applyBorder="1" applyAlignment="1">
      <alignment horizontal="center"/>
    </xf>
    <xf numFmtId="0" fontId="26" fillId="5" borderId="0" xfId="0" applyFont="1" applyFill="1" applyAlignment="1">
      <alignment horizontal="center"/>
    </xf>
    <xf numFmtId="0" fontId="26" fillId="5" borderId="44" xfId="0" applyFont="1" applyFill="1" applyBorder="1" applyAlignment="1">
      <alignment horizontal="center"/>
    </xf>
    <xf numFmtId="0" fontId="75" fillId="5" borderId="0" xfId="0" applyFont="1" applyFill="1" applyAlignment="1">
      <alignment horizontal="left"/>
    </xf>
    <xf numFmtId="0" fontId="26" fillId="5" borderId="0" xfId="0" applyFont="1" applyFill="1" applyAlignment="1">
      <alignment horizontal="left"/>
    </xf>
    <xf numFmtId="0" fontId="75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71" fontId="19" fillId="0" borderId="0" xfId="2" applyNumberFormat="1" applyFont="1" applyFill="1" applyBorder="1" applyAlignment="1">
      <alignment horizontal="right" vertical="center"/>
    </xf>
    <xf numFmtId="207" fontId="19" fillId="0" borderId="0" xfId="2" applyNumberFormat="1" applyFont="1" applyFill="1" applyBorder="1" applyAlignment="1">
      <alignment vertical="center"/>
    </xf>
    <xf numFmtId="0" fontId="77" fillId="5" borderId="49" xfId="0" applyFont="1" applyFill="1" applyBorder="1"/>
    <xf numFmtId="0" fontId="7" fillId="5" borderId="50" xfId="0" applyFont="1" applyFill="1" applyBorder="1"/>
    <xf numFmtId="0" fontId="7" fillId="5" borderId="51" xfId="0" applyFont="1" applyFill="1" applyBorder="1"/>
    <xf numFmtId="164" fontId="22" fillId="0" borderId="0" xfId="0" applyNumberFormat="1" applyFont="1" applyAlignment="1">
      <alignment horizontal="left" vertical="center"/>
    </xf>
  </cellXfs>
  <cellStyles count="9">
    <cellStyle name="Comma" xfId="1" builtinId="3"/>
    <cellStyle name="Comma 2" xfId="6" xr:uid="{5165D7A9-54EC-4856-98DB-B9A1949979F2}"/>
    <cellStyle name="Comma 2 2" xfId="7" xr:uid="{BB4CACCF-0932-4210-9E3E-D5ED8DB450B9}"/>
    <cellStyle name="Hyperlink" xfId="5" builtinId="8"/>
    <cellStyle name="Hyperlink 2 2" xfId="4" xr:uid="{2FB86F81-F5AB-4521-94A9-2BCD4F44B15F}"/>
    <cellStyle name="Normal" xfId="0" builtinId="0"/>
    <cellStyle name="Normal 2" xfId="8" xr:uid="{D3BC4A7C-2E19-4C1A-8DA5-9428A57AFB61}"/>
    <cellStyle name="Normal 2 2 2" xfId="3" xr:uid="{3BED6B41-376D-40D8-AAEF-27AA4EF6C7FA}"/>
    <cellStyle name="Percent" xfId="2" builtinId="5"/>
  </cellStyles>
  <dxfs count="25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colors>
    <mruColors>
      <color rgb="FF000C3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22" fmlaLink="$D$7" fmlaRange="$B$12:$B$14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100853</xdr:colOff>
      <xdr:row>3</xdr:row>
      <xdr:rowOff>47708</xdr:rowOff>
    </xdr:from>
    <xdr:to>
      <xdr:col>2</xdr:col>
      <xdr:colOff>717177</xdr:colOff>
      <xdr:row>8</xdr:row>
      <xdr:rowOff>1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A62A856-C39A-D2D7-BF15-E8E89A08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4618" y="787296"/>
          <a:ext cx="941294" cy="1184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0</xdr:row>
      <xdr:rowOff>66674</xdr:rowOff>
    </xdr:from>
    <xdr:to>
      <xdr:col>2</xdr:col>
      <xdr:colOff>476250</xdr:colOff>
      <xdr:row>0</xdr:row>
      <xdr:rowOff>561975</xdr:rowOff>
    </xdr:to>
    <xdr:sp macro="" textlink="">
      <xdr:nvSpPr>
        <xdr:cNvPr id="5" name="Graphic 3">
          <a:extLst>
            <a:ext uri="{FF2B5EF4-FFF2-40B4-BE49-F238E27FC236}">
              <a16:creationId xmlns:a16="http://schemas.microsoft.com/office/drawing/2014/main" id="{E091F3C6-F109-B792-997F-B640B4C8C840}"/>
            </a:ext>
          </a:extLst>
        </xdr:cNvPr>
        <xdr:cNvSpPr/>
      </xdr:nvSpPr>
      <xdr:spPr>
        <a:xfrm>
          <a:off x="809624" y="66674"/>
          <a:ext cx="457201" cy="495301"/>
        </a:xfrm>
        <a:custGeom>
          <a:avLst/>
          <a:gdLst>
            <a:gd name="connsiteX0" fmla="*/ 5466743 w 5583771"/>
            <a:gd name="connsiteY0" fmla="*/ 489909 h 628649"/>
            <a:gd name="connsiteX1" fmla="*/ 5110346 w 5583771"/>
            <a:gd name="connsiteY1" fmla="*/ 550677 h 628649"/>
            <a:gd name="connsiteX2" fmla="*/ 4651232 w 5583771"/>
            <a:gd name="connsiteY2" fmla="*/ 603296 h 628649"/>
            <a:gd name="connsiteX3" fmla="*/ 4061187 w 5583771"/>
            <a:gd name="connsiteY3" fmla="*/ 627937 h 628649"/>
            <a:gd name="connsiteX4" fmla="*/ 3516148 w 5583771"/>
            <a:gd name="connsiteY4" fmla="*/ 615597 h 628649"/>
            <a:gd name="connsiteX5" fmla="*/ 2929372 w 5583771"/>
            <a:gd name="connsiteY5" fmla="*/ 603296 h 628649"/>
            <a:gd name="connsiteX6" fmla="*/ 2325984 w 5583771"/>
            <a:gd name="connsiteY6" fmla="*/ 615597 h 628649"/>
            <a:gd name="connsiteX7" fmla="*/ 1804597 w 5583771"/>
            <a:gd name="connsiteY7" fmla="*/ 628596 h 628649"/>
            <a:gd name="connsiteX8" fmla="*/ 1201208 w 5583771"/>
            <a:gd name="connsiteY8" fmla="*/ 603296 h 628649"/>
            <a:gd name="connsiteX9" fmla="*/ 721027 w 5583771"/>
            <a:gd name="connsiteY9" fmla="*/ 548814 h 628649"/>
            <a:gd name="connsiteX10" fmla="*/ 213228 w 5583771"/>
            <a:gd name="connsiteY10" fmla="*/ 453162 h 628649"/>
            <a:gd name="connsiteX11" fmla="*/ 0 w 5583771"/>
            <a:gd name="connsiteY11" fmla="*/ 339162 h 628649"/>
            <a:gd name="connsiteX12" fmla="*/ 288272 w 5583771"/>
            <a:gd name="connsiteY12" fmla="*/ 230246 h 628649"/>
            <a:gd name="connsiteX13" fmla="*/ 892030 w 5583771"/>
            <a:gd name="connsiteY13" fmla="*/ 172331 h 628649"/>
            <a:gd name="connsiteX14" fmla="*/ 1708277 w 5583771"/>
            <a:gd name="connsiteY14" fmla="*/ 150488 h 628649"/>
            <a:gd name="connsiteX15" fmla="*/ 2339613 w 5583771"/>
            <a:gd name="connsiteY15" fmla="*/ 164422 h 628649"/>
            <a:gd name="connsiteX16" fmla="*/ 2840377 w 5583771"/>
            <a:gd name="connsiteY16" fmla="*/ 178388 h 628649"/>
            <a:gd name="connsiteX17" fmla="*/ 3395645 w 5583771"/>
            <a:gd name="connsiteY17" fmla="*/ 161938 h 628649"/>
            <a:gd name="connsiteX18" fmla="*/ 4150388 w 5583771"/>
            <a:gd name="connsiteY18" fmla="*/ 149230 h 628649"/>
            <a:gd name="connsiteX19" fmla="*/ 5405775 w 5583771"/>
            <a:gd name="connsiteY19" fmla="*/ 211911 h 628649"/>
            <a:gd name="connsiteX20" fmla="*/ 4665146 w 5583771"/>
            <a:gd name="connsiteY20" fmla="*/ 332212 h 628649"/>
            <a:gd name="connsiteX21" fmla="*/ 5124664 w 5583771"/>
            <a:gd name="connsiteY21" fmla="*/ 432207 h 628649"/>
            <a:gd name="connsiteX22" fmla="*/ 5583772 w 5583771"/>
            <a:gd name="connsiteY22" fmla="*/ 460767 h 628649"/>
            <a:gd name="connsiteX23" fmla="*/ 5466743 w 5583771"/>
            <a:gd name="connsiteY23" fmla="*/ 489909 h 628649"/>
            <a:gd name="connsiteX24" fmla="*/ 4187623 w 5583771"/>
            <a:gd name="connsiteY24" fmla="*/ 12577 h 628649"/>
            <a:gd name="connsiteX25" fmla="*/ 3825088 w 5583771"/>
            <a:gd name="connsiteY25" fmla="*/ 100543 h 628649"/>
            <a:gd name="connsiteX26" fmla="*/ 2799211 w 5583771"/>
            <a:gd name="connsiteY26" fmla="*/ 148563 h 628649"/>
            <a:gd name="connsiteX27" fmla="*/ 2791521 w 5583771"/>
            <a:gd name="connsiteY27" fmla="*/ 136650 h 628649"/>
            <a:gd name="connsiteX28" fmla="*/ 3176111 w 5583771"/>
            <a:gd name="connsiteY28" fmla="*/ 47757 h 628649"/>
            <a:gd name="connsiteX29" fmla="*/ 3644632 w 5583771"/>
            <a:gd name="connsiteY29" fmla="*/ 14396 h 628649"/>
            <a:gd name="connsiteX30" fmla="*/ 4180669 w 5583771"/>
            <a:gd name="connsiteY30" fmla="*/ 0 h 628649"/>
            <a:gd name="connsiteX31" fmla="*/ 4187623 w 5583771"/>
            <a:gd name="connsiteY31" fmla="*/ 12576 h 6286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5583771" h="628649">
              <a:moveTo>
                <a:pt x="5466743" y="489909"/>
              </a:moveTo>
              <a:cubicBezTo>
                <a:pt x="5366492" y="511873"/>
                <a:pt x="5247832" y="532089"/>
                <a:pt x="5110346" y="550677"/>
              </a:cubicBezTo>
              <a:cubicBezTo>
                <a:pt x="4922936" y="576016"/>
                <a:pt x="4769487" y="593556"/>
                <a:pt x="4651232" y="603296"/>
              </a:cubicBezTo>
              <a:cubicBezTo>
                <a:pt x="4467919" y="619283"/>
                <a:pt x="4271507" y="627471"/>
                <a:pt x="4061187" y="627937"/>
              </a:cubicBezTo>
              <a:cubicBezTo>
                <a:pt x="3910198" y="627937"/>
                <a:pt x="3728105" y="623862"/>
                <a:pt x="3516148" y="615597"/>
              </a:cubicBezTo>
              <a:cubicBezTo>
                <a:pt x="3303495" y="607370"/>
                <a:pt x="3108064" y="603296"/>
                <a:pt x="2929372" y="603296"/>
              </a:cubicBezTo>
              <a:cubicBezTo>
                <a:pt x="2741962" y="603296"/>
                <a:pt x="2540970" y="607370"/>
                <a:pt x="2325984" y="615597"/>
              </a:cubicBezTo>
              <a:cubicBezTo>
                <a:pt x="2110673" y="623862"/>
                <a:pt x="1937217" y="628169"/>
                <a:pt x="1804597" y="628596"/>
              </a:cubicBezTo>
              <a:cubicBezTo>
                <a:pt x="1602908" y="629411"/>
                <a:pt x="1401876" y="620991"/>
                <a:pt x="1201208" y="603296"/>
              </a:cubicBezTo>
              <a:cubicBezTo>
                <a:pt x="1073135" y="592702"/>
                <a:pt x="912938" y="574542"/>
                <a:pt x="721027" y="548814"/>
              </a:cubicBezTo>
              <a:cubicBezTo>
                <a:pt x="515126" y="521341"/>
                <a:pt x="345846" y="489483"/>
                <a:pt x="213228" y="453162"/>
              </a:cubicBezTo>
              <a:cubicBezTo>
                <a:pt x="71199" y="413930"/>
                <a:pt x="0" y="375941"/>
                <a:pt x="0" y="339162"/>
              </a:cubicBezTo>
              <a:cubicBezTo>
                <a:pt x="0" y="297032"/>
                <a:pt x="95995" y="260696"/>
                <a:pt x="288272" y="230246"/>
              </a:cubicBezTo>
              <a:cubicBezTo>
                <a:pt x="439385" y="205787"/>
                <a:pt x="640419" y="186494"/>
                <a:pt x="892030" y="172331"/>
              </a:cubicBezTo>
              <a:cubicBezTo>
                <a:pt x="1143635" y="158166"/>
                <a:pt x="1415505" y="150949"/>
                <a:pt x="1708277" y="150488"/>
              </a:cubicBezTo>
              <a:cubicBezTo>
                <a:pt x="1868474" y="150488"/>
                <a:pt x="2078548" y="155187"/>
                <a:pt x="2339613" y="164422"/>
              </a:cubicBezTo>
              <a:cubicBezTo>
                <a:pt x="2599935" y="173688"/>
                <a:pt x="2767087" y="178388"/>
                <a:pt x="2840377" y="178388"/>
              </a:cubicBezTo>
              <a:cubicBezTo>
                <a:pt x="2895166" y="178388"/>
                <a:pt x="3080852" y="172893"/>
                <a:pt x="3395645" y="161938"/>
              </a:cubicBezTo>
              <a:cubicBezTo>
                <a:pt x="3693329" y="151779"/>
                <a:pt x="3944569" y="147573"/>
                <a:pt x="4150388" y="149230"/>
              </a:cubicBezTo>
              <a:cubicBezTo>
                <a:pt x="4708109" y="153499"/>
                <a:pt x="5127117" y="174348"/>
                <a:pt x="5405775" y="211911"/>
              </a:cubicBezTo>
              <a:cubicBezTo>
                <a:pt x="4906973" y="240572"/>
                <a:pt x="4660234" y="280715"/>
                <a:pt x="4665146" y="332212"/>
              </a:cubicBezTo>
              <a:cubicBezTo>
                <a:pt x="4669647" y="372324"/>
                <a:pt x="4823096" y="405704"/>
                <a:pt x="5124664" y="432207"/>
              </a:cubicBezTo>
              <a:cubicBezTo>
                <a:pt x="5261335" y="444508"/>
                <a:pt x="5413962" y="454015"/>
                <a:pt x="5583772" y="460767"/>
              </a:cubicBezTo>
              <a:cubicBezTo>
                <a:pt x="5546947" y="470895"/>
                <a:pt x="5508075" y="480596"/>
                <a:pt x="5466743" y="489909"/>
              </a:cubicBezTo>
              <a:close/>
              <a:moveTo>
                <a:pt x="4187623" y="12577"/>
              </a:moveTo>
              <a:cubicBezTo>
                <a:pt x="4187623" y="44016"/>
                <a:pt x="4066504" y="73372"/>
                <a:pt x="3825088" y="100543"/>
              </a:cubicBezTo>
              <a:cubicBezTo>
                <a:pt x="3533741" y="132843"/>
                <a:pt x="3181348" y="151508"/>
                <a:pt x="2799211" y="148563"/>
              </a:cubicBezTo>
              <a:cubicBezTo>
                <a:pt x="2794339" y="144791"/>
                <a:pt x="2791521" y="140821"/>
                <a:pt x="2791521" y="136650"/>
              </a:cubicBezTo>
              <a:cubicBezTo>
                <a:pt x="2791521" y="106468"/>
                <a:pt x="2930068" y="74167"/>
                <a:pt x="3176111" y="47757"/>
              </a:cubicBezTo>
              <a:cubicBezTo>
                <a:pt x="3298954" y="34385"/>
                <a:pt x="3455181" y="23266"/>
                <a:pt x="3644632" y="14396"/>
              </a:cubicBezTo>
              <a:cubicBezTo>
                <a:pt x="3833679" y="5659"/>
                <a:pt x="4012490" y="827"/>
                <a:pt x="4180669" y="0"/>
              </a:cubicBezTo>
              <a:cubicBezTo>
                <a:pt x="4185581" y="4203"/>
                <a:pt x="4187623" y="8406"/>
                <a:pt x="4187623" y="12576"/>
              </a:cubicBezTo>
              <a:close/>
            </a:path>
          </a:pathLst>
        </a:custGeom>
        <a:solidFill>
          <a:srgbClr val="FFFFFF"/>
        </a:solidFill>
        <a:ln w="662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66675</xdr:rowOff>
    </xdr:from>
    <xdr:to>
      <xdr:col>1</xdr:col>
      <xdr:colOff>738774</xdr:colOff>
      <xdr:row>0</xdr:row>
      <xdr:rowOff>561974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FA8ACB5-192B-649A-7FAC-54E14C6C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6300" y="66675"/>
          <a:ext cx="472074" cy="49529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</xdr:row>
          <xdr:rowOff>161925</xdr:rowOff>
        </xdr:from>
        <xdr:to>
          <xdr:col>4</xdr:col>
          <xdr:colOff>38100</xdr:colOff>
          <xdr:row>6</xdr:row>
          <xdr:rowOff>180975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0</xdr:row>
      <xdr:rowOff>38100</xdr:rowOff>
    </xdr:from>
    <xdr:to>
      <xdr:col>1</xdr:col>
      <xdr:colOff>790576</xdr:colOff>
      <xdr:row>0</xdr:row>
      <xdr:rowOff>561976</xdr:rowOff>
    </xdr:to>
    <xdr:sp macro="" textlink="">
      <xdr:nvSpPr>
        <xdr:cNvPr id="13" name="Graphic 11">
          <a:extLst>
            <a:ext uri="{FF2B5EF4-FFF2-40B4-BE49-F238E27FC236}">
              <a16:creationId xmlns:a16="http://schemas.microsoft.com/office/drawing/2014/main" id="{26B3BBDA-55A6-776D-49B1-A0A5094620AF}"/>
            </a:ext>
          </a:extLst>
        </xdr:cNvPr>
        <xdr:cNvSpPr/>
      </xdr:nvSpPr>
      <xdr:spPr>
        <a:xfrm>
          <a:off x="904875" y="38100"/>
          <a:ext cx="495301" cy="523876"/>
        </a:xfrm>
        <a:custGeom>
          <a:avLst/>
          <a:gdLst>
            <a:gd name="connsiteX0" fmla="*/ 2220282 w 2267811"/>
            <a:gd name="connsiteY0" fmla="*/ 527023 h 676274"/>
            <a:gd name="connsiteX1" fmla="*/ 2075532 w 2267811"/>
            <a:gd name="connsiteY1" fmla="*/ 592394 h 676274"/>
            <a:gd name="connsiteX2" fmla="*/ 1889068 w 2267811"/>
            <a:gd name="connsiteY2" fmla="*/ 648999 h 676274"/>
            <a:gd name="connsiteX3" fmla="*/ 1649424 w 2267811"/>
            <a:gd name="connsiteY3" fmla="*/ 675506 h 676274"/>
            <a:gd name="connsiteX4" fmla="*/ 1428060 w 2267811"/>
            <a:gd name="connsiteY4" fmla="*/ 662232 h 676274"/>
            <a:gd name="connsiteX5" fmla="*/ 1189745 w 2267811"/>
            <a:gd name="connsiteY5" fmla="*/ 648999 h 676274"/>
            <a:gd name="connsiteX6" fmla="*/ 944684 w 2267811"/>
            <a:gd name="connsiteY6" fmla="*/ 662232 h 676274"/>
            <a:gd name="connsiteX7" fmla="*/ 732926 w 2267811"/>
            <a:gd name="connsiteY7" fmla="*/ 676216 h 676274"/>
            <a:gd name="connsiteX8" fmla="*/ 487864 w 2267811"/>
            <a:gd name="connsiteY8" fmla="*/ 648999 h 676274"/>
            <a:gd name="connsiteX9" fmla="*/ 292841 w 2267811"/>
            <a:gd name="connsiteY9" fmla="*/ 590390 h 676274"/>
            <a:gd name="connsiteX10" fmla="*/ 86601 w 2267811"/>
            <a:gd name="connsiteY10" fmla="*/ 487491 h 676274"/>
            <a:gd name="connsiteX11" fmla="*/ 0 w 2267811"/>
            <a:gd name="connsiteY11" fmla="*/ 364856 h 676274"/>
            <a:gd name="connsiteX12" fmla="*/ 117080 w 2267811"/>
            <a:gd name="connsiteY12" fmla="*/ 247688 h 676274"/>
            <a:gd name="connsiteX13" fmla="*/ 362291 w 2267811"/>
            <a:gd name="connsiteY13" fmla="*/ 185385 h 676274"/>
            <a:gd name="connsiteX14" fmla="*/ 693805 w 2267811"/>
            <a:gd name="connsiteY14" fmla="*/ 161888 h 676274"/>
            <a:gd name="connsiteX15" fmla="*/ 950218 w 2267811"/>
            <a:gd name="connsiteY15" fmla="*/ 176878 h 676274"/>
            <a:gd name="connsiteX16" fmla="*/ 1153599 w 2267811"/>
            <a:gd name="connsiteY16" fmla="*/ 191902 h 676274"/>
            <a:gd name="connsiteX17" fmla="*/ 1379118 w 2267811"/>
            <a:gd name="connsiteY17" fmla="*/ 174206 h 676274"/>
            <a:gd name="connsiteX18" fmla="*/ 1685653 w 2267811"/>
            <a:gd name="connsiteY18" fmla="*/ 160535 h 676274"/>
            <a:gd name="connsiteX19" fmla="*/ 2195520 w 2267811"/>
            <a:gd name="connsiteY19" fmla="*/ 227964 h 676274"/>
            <a:gd name="connsiteX20" fmla="*/ 1894718 w 2267811"/>
            <a:gd name="connsiteY20" fmla="*/ 357379 h 676274"/>
            <a:gd name="connsiteX21" fmla="*/ 2081348 w 2267811"/>
            <a:gd name="connsiteY21" fmla="*/ 464949 h 676274"/>
            <a:gd name="connsiteX22" fmla="*/ 2267812 w 2267811"/>
            <a:gd name="connsiteY22" fmla="*/ 495673 h 676274"/>
            <a:gd name="connsiteX23" fmla="*/ 2220282 w 2267811"/>
            <a:gd name="connsiteY23" fmla="*/ 527023 h 676274"/>
            <a:gd name="connsiteX24" fmla="*/ 1700776 w 2267811"/>
            <a:gd name="connsiteY24" fmla="*/ 13529 h 676274"/>
            <a:gd name="connsiteX25" fmla="*/ 1553533 w 2267811"/>
            <a:gd name="connsiteY25" fmla="*/ 108159 h 676274"/>
            <a:gd name="connsiteX26" fmla="*/ 1136881 w 2267811"/>
            <a:gd name="connsiteY26" fmla="*/ 159817 h 676274"/>
            <a:gd name="connsiteX27" fmla="*/ 1133756 w 2267811"/>
            <a:gd name="connsiteY27" fmla="*/ 147002 h 676274"/>
            <a:gd name="connsiteX28" fmla="*/ 1289957 w 2267811"/>
            <a:gd name="connsiteY28" fmla="*/ 51374 h 676274"/>
            <a:gd name="connsiteX29" fmla="*/ 1480243 w 2267811"/>
            <a:gd name="connsiteY29" fmla="*/ 15487 h 676274"/>
            <a:gd name="connsiteX30" fmla="*/ 1697951 w 2267811"/>
            <a:gd name="connsiteY30" fmla="*/ 0 h 676274"/>
            <a:gd name="connsiteX31" fmla="*/ 1700776 w 2267811"/>
            <a:gd name="connsiteY31" fmla="*/ 13529 h 6762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2267811" h="676274">
              <a:moveTo>
                <a:pt x="2220282" y="527023"/>
              </a:moveTo>
              <a:cubicBezTo>
                <a:pt x="2179566" y="550650"/>
                <a:pt x="2131371" y="572399"/>
                <a:pt x="2075532" y="592394"/>
              </a:cubicBezTo>
              <a:cubicBezTo>
                <a:pt x="1999417" y="619653"/>
                <a:pt x="1937096" y="638521"/>
                <a:pt x="1889068" y="648999"/>
              </a:cubicBezTo>
              <a:cubicBezTo>
                <a:pt x="1814615" y="666197"/>
                <a:pt x="1734845" y="675005"/>
                <a:pt x="1649424" y="675506"/>
              </a:cubicBezTo>
              <a:cubicBezTo>
                <a:pt x="1588100" y="675506"/>
                <a:pt x="1514146" y="671123"/>
                <a:pt x="1428060" y="662232"/>
              </a:cubicBezTo>
              <a:cubicBezTo>
                <a:pt x="1341692" y="653382"/>
                <a:pt x="1262320" y="648999"/>
                <a:pt x="1189745" y="648999"/>
              </a:cubicBezTo>
              <a:cubicBezTo>
                <a:pt x="1113631" y="648999"/>
                <a:pt x="1031999" y="653382"/>
                <a:pt x="944684" y="662232"/>
              </a:cubicBezTo>
              <a:cubicBezTo>
                <a:pt x="857235" y="671123"/>
                <a:pt x="786787" y="675757"/>
                <a:pt x="732926" y="676216"/>
              </a:cubicBezTo>
              <a:cubicBezTo>
                <a:pt x="651011" y="677093"/>
                <a:pt x="569363" y="668034"/>
                <a:pt x="487864" y="648999"/>
              </a:cubicBezTo>
              <a:cubicBezTo>
                <a:pt x="435847" y="637603"/>
                <a:pt x="370784" y="618067"/>
                <a:pt x="292841" y="590390"/>
              </a:cubicBezTo>
              <a:cubicBezTo>
                <a:pt x="209215" y="560835"/>
                <a:pt x="140463" y="526564"/>
                <a:pt x="86601" y="487491"/>
              </a:cubicBezTo>
              <a:cubicBezTo>
                <a:pt x="28917" y="445288"/>
                <a:pt x="0" y="404421"/>
                <a:pt x="0" y="364856"/>
              </a:cubicBezTo>
              <a:cubicBezTo>
                <a:pt x="0" y="319534"/>
                <a:pt x="38988" y="280445"/>
                <a:pt x="117080" y="247688"/>
              </a:cubicBezTo>
              <a:cubicBezTo>
                <a:pt x="178453" y="221377"/>
                <a:pt x="260102" y="200622"/>
                <a:pt x="362291" y="185385"/>
              </a:cubicBezTo>
              <a:cubicBezTo>
                <a:pt x="464481" y="170149"/>
                <a:pt x="574897" y="162384"/>
                <a:pt x="693805" y="161888"/>
              </a:cubicBezTo>
              <a:cubicBezTo>
                <a:pt x="758868" y="161888"/>
                <a:pt x="844189" y="166943"/>
                <a:pt x="950218" y="176878"/>
              </a:cubicBezTo>
              <a:cubicBezTo>
                <a:pt x="1055947" y="186846"/>
                <a:pt x="1123835" y="191902"/>
                <a:pt x="1153599" y="191902"/>
              </a:cubicBezTo>
              <a:cubicBezTo>
                <a:pt x="1175852" y="191902"/>
                <a:pt x="1251269" y="185991"/>
                <a:pt x="1379118" y="174206"/>
              </a:cubicBezTo>
              <a:cubicBezTo>
                <a:pt x="1500020" y="163278"/>
                <a:pt x="1602060" y="158753"/>
                <a:pt x="1685653" y="160535"/>
              </a:cubicBezTo>
              <a:cubicBezTo>
                <a:pt x="1912168" y="165127"/>
                <a:pt x="2082345" y="187556"/>
                <a:pt x="2195520" y="227964"/>
              </a:cubicBezTo>
              <a:cubicBezTo>
                <a:pt x="1992936" y="258796"/>
                <a:pt x="1892724" y="301981"/>
                <a:pt x="1894718" y="357379"/>
              </a:cubicBezTo>
              <a:cubicBezTo>
                <a:pt x="1896546" y="400530"/>
                <a:pt x="1958867" y="436438"/>
                <a:pt x="2081348" y="464949"/>
              </a:cubicBezTo>
              <a:cubicBezTo>
                <a:pt x="2136855" y="478182"/>
                <a:pt x="2198844" y="488410"/>
                <a:pt x="2267812" y="495673"/>
              </a:cubicBezTo>
              <a:cubicBezTo>
                <a:pt x="2252855" y="506568"/>
                <a:pt x="2237067" y="517004"/>
                <a:pt x="2220282" y="527023"/>
              </a:cubicBezTo>
              <a:close/>
              <a:moveTo>
                <a:pt x="1700776" y="13529"/>
              </a:moveTo>
              <a:cubicBezTo>
                <a:pt x="1700776" y="47351"/>
                <a:pt x="1651584" y="78930"/>
                <a:pt x="1553533" y="108159"/>
              </a:cubicBezTo>
              <a:cubicBezTo>
                <a:pt x="1435206" y="142907"/>
                <a:pt x="1292084" y="162986"/>
                <a:pt x="1136881" y="159817"/>
              </a:cubicBezTo>
              <a:cubicBezTo>
                <a:pt x="1134903" y="155760"/>
                <a:pt x="1133756" y="151489"/>
                <a:pt x="1133756" y="147002"/>
              </a:cubicBezTo>
              <a:cubicBezTo>
                <a:pt x="1133756" y="114533"/>
                <a:pt x="1190028" y="79785"/>
                <a:pt x="1289957" y="51374"/>
              </a:cubicBezTo>
              <a:cubicBezTo>
                <a:pt x="1339847" y="36989"/>
                <a:pt x="1403298" y="25029"/>
                <a:pt x="1480243" y="15487"/>
              </a:cubicBezTo>
              <a:cubicBezTo>
                <a:pt x="1557023" y="6088"/>
                <a:pt x="1629647" y="890"/>
                <a:pt x="1697951" y="0"/>
              </a:cubicBezTo>
              <a:cubicBezTo>
                <a:pt x="1699945" y="4521"/>
                <a:pt x="1700776" y="9043"/>
                <a:pt x="1700776" y="13529"/>
              </a:cubicBezTo>
              <a:close/>
            </a:path>
          </a:pathLst>
        </a:custGeom>
        <a:solidFill>
          <a:srgbClr val="FFFFFF"/>
        </a:solidFill>
        <a:ln w="2692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57150</xdr:rowOff>
    </xdr:from>
    <xdr:to>
      <xdr:col>1</xdr:col>
      <xdr:colOff>876300</xdr:colOff>
      <xdr:row>0</xdr:row>
      <xdr:rowOff>578144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2F84CC3-8475-CA69-D021-D1BBEECF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5" y="57150"/>
          <a:ext cx="466725" cy="520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4CA2-F079-43DD-A2A9-24BA59CB16B2}">
  <sheetPr>
    <pageSetUpPr fitToPage="1"/>
  </sheetPr>
  <dimension ref="A1:N40"/>
  <sheetViews>
    <sheetView showGridLines="0" topLeftCell="A4" zoomScale="85" zoomScaleNormal="85" zoomScaleSheetLayoutView="85" workbookViewId="0">
      <selection activeCell="F12" sqref="F12"/>
    </sheetView>
  </sheetViews>
  <sheetFormatPr defaultColWidth="9.140625" defaultRowHeight="19.5" customHeight="1"/>
  <cols>
    <col min="1" max="1" width="4.7109375" style="1" customWidth="1"/>
    <col min="2" max="2" width="4.85546875" style="1" customWidth="1"/>
    <col min="3" max="3" width="36.7109375" style="1" customWidth="1"/>
    <col min="4" max="11" width="10.7109375" style="1" customWidth="1"/>
    <col min="12" max="12" width="26.7109375" style="1" customWidth="1"/>
    <col min="13" max="13" width="10.7109375" style="1" customWidth="1"/>
    <col min="14" max="14" width="4.85546875" style="1" customWidth="1"/>
    <col min="15" max="15" width="9.140625" style="1" customWidth="1"/>
    <col min="16" max="16384" width="9.140625" style="1"/>
  </cols>
  <sheetData>
    <row r="1" spans="1:14" ht="19.5" customHeight="1" thickBot="1">
      <c r="A1" s="26"/>
    </row>
    <row r="2" spans="1:14" ht="19.5" customHeight="1" thickTop="1">
      <c r="B2" s="572" t="s">
        <v>363</v>
      </c>
      <c r="C2" s="573"/>
      <c r="D2" s="573"/>
      <c r="E2" s="573"/>
      <c r="F2" s="573"/>
      <c r="G2" s="25"/>
      <c r="H2" s="25"/>
      <c r="I2" s="25"/>
      <c r="J2" s="25"/>
      <c r="K2" s="25"/>
      <c r="L2" s="25"/>
      <c r="M2" s="25"/>
      <c r="N2" s="24"/>
    </row>
    <row r="3" spans="1:14" ht="19.5" customHeight="1">
      <c r="B3" s="574"/>
      <c r="C3" s="573"/>
      <c r="D3" s="573"/>
      <c r="E3" s="573"/>
      <c r="F3" s="573"/>
      <c r="G3" s="23"/>
      <c r="H3" s="23"/>
      <c r="I3" s="23"/>
      <c r="J3" s="23"/>
      <c r="K3" s="23"/>
      <c r="L3" s="23"/>
      <c r="M3" s="23"/>
      <c r="N3" s="22"/>
    </row>
    <row r="4" spans="1:14" ht="19.5" customHeight="1">
      <c r="B4" s="574"/>
      <c r="C4" s="573"/>
      <c r="D4" s="573"/>
      <c r="E4" s="573"/>
      <c r="F4" s="573"/>
      <c r="G4" s="23"/>
      <c r="H4" s="23"/>
      <c r="I4" s="23"/>
      <c r="J4" s="23"/>
      <c r="K4" s="23"/>
      <c r="L4" s="23"/>
      <c r="M4" s="23"/>
      <c r="N4" s="22"/>
    </row>
    <row r="5" spans="1:14" ht="19.5" customHeight="1">
      <c r="B5" s="574"/>
      <c r="C5" s="573"/>
      <c r="D5" s="573"/>
      <c r="E5" s="573"/>
      <c r="F5" s="573"/>
      <c r="G5" s="23"/>
      <c r="H5" s="23"/>
      <c r="I5" s="23"/>
      <c r="J5" s="23"/>
      <c r="K5" s="23"/>
      <c r="L5" s="23"/>
      <c r="M5" s="23"/>
      <c r="N5" s="22"/>
    </row>
    <row r="6" spans="1:14" ht="19.5" customHeight="1">
      <c r="B6" s="574"/>
      <c r="C6" s="573"/>
      <c r="D6" s="573"/>
      <c r="E6" s="573"/>
      <c r="F6" s="573"/>
      <c r="G6" s="23"/>
      <c r="H6" s="23"/>
      <c r="I6" s="23"/>
      <c r="J6" s="23"/>
      <c r="K6" s="23"/>
      <c r="L6" s="23"/>
      <c r="M6" s="23"/>
      <c r="N6" s="22"/>
    </row>
    <row r="7" spans="1:14" ht="19.5" customHeight="1">
      <c r="B7" s="574"/>
      <c r="C7" s="573"/>
      <c r="D7" s="573"/>
      <c r="E7" s="573"/>
      <c r="F7" s="573"/>
      <c r="G7" s="23"/>
      <c r="H7" s="23"/>
      <c r="I7" s="23"/>
      <c r="J7" s="23"/>
      <c r="K7" s="23"/>
      <c r="L7" s="23"/>
      <c r="M7" s="23"/>
      <c r="N7" s="22"/>
    </row>
    <row r="8" spans="1:14" ht="19.5" customHeight="1">
      <c r="B8" s="574"/>
      <c r="C8" s="573"/>
      <c r="D8" s="573"/>
      <c r="E8" s="573"/>
      <c r="F8" s="573"/>
      <c r="G8" s="23"/>
      <c r="H8" s="23"/>
      <c r="I8" s="23"/>
      <c r="J8" s="23"/>
      <c r="K8" s="23"/>
      <c r="L8" s="23"/>
      <c r="M8" s="23"/>
      <c r="N8" s="22"/>
    </row>
    <row r="9" spans="1:14" ht="19.5" customHeight="1">
      <c r="B9" s="574"/>
      <c r="C9" s="573"/>
      <c r="D9" s="573"/>
      <c r="E9" s="573"/>
      <c r="F9" s="573"/>
      <c r="G9" s="23"/>
      <c r="H9" s="23"/>
      <c r="I9" s="23"/>
      <c r="J9" s="23"/>
      <c r="K9" s="23"/>
      <c r="L9" s="23"/>
      <c r="M9" s="23"/>
      <c r="N9" s="22"/>
    </row>
    <row r="10" spans="1:14" ht="19.5" customHeight="1">
      <c r="B10" s="3"/>
      <c r="N10" s="2"/>
    </row>
    <row r="11" spans="1:14" ht="28.5" customHeight="1">
      <c r="B11" s="3"/>
      <c r="C11" s="21" t="s">
        <v>366</v>
      </c>
      <c r="M11" s="20"/>
      <c r="N11" s="2"/>
    </row>
    <row r="12" spans="1:14" ht="19.5" customHeight="1">
      <c r="B12" s="3"/>
      <c r="C12" s="19"/>
      <c r="K12" s="18"/>
      <c r="N12" s="2"/>
    </row>
    <row r="13" spans="1:14" ht="19.5" customHeight="1">
      <c r="B13" s="3"/>
      <c r="C13" s="17" t="s">
        <v>11</v>
      </c>
      <c r="D13" s="4"/>
      <c r="E13" s="4"/>
      <c r="F13" s="4"/>
      <c r="G13" s="4"/>
      <c r="H13" s="16" t="s">
        <v>10</v>
      </c>
      <c r="I13" s="15"/>
      <c r="J13" s="15"/>
      <c r="K13" s="15"/>
      <c r="L13" s="14"/>
      <c r="M13" s="13"/>
      <c r="N13" s="2"/>
    </row>
    <row r="14" spans="1:14" ht="19.5" customHeight="1">
      <c r="B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</row>
    <row r="15" spans="1:14" ht="19.5" customHeight="1">
      <c r="B15" s="3"/>
      <c r="C15" s="12" t="s">
        <v>357</v>
      </c>
      <c r="D15" s="4"/>
      <c r="E15" s="4"/>
      <c r="F15" s="4"/>
      <c r="G15" s="4"/>
      <c r="H15" s="10" t="s">
        <v>9</v>
      </c>
      <c r="M15" s="9">
        <f>Inputs!$F$107</f>
        <v>0</v>
      </c>
      <c r="N15" s="2"/>
    </row>
    <row r="16" spans="1:14" ht="19.5" customHeight="1">
      <c r="B16" s="3"/>
      <c r="C16" s="12" t="s">
        <v>8</v>
      </c>
      <c r="D16" s="4"/>
      <c r="E16" s="4"/>
      <c r="F16" s="4"/>
      <c r="G16" s="4"/>
      <c r="H16" s="10" t="s">
        <v>7</v>
      </c>
      <c r="M16" s="9">
        <f>Inputs!$F$108</f>
        <v>0</v>
      </c>
      <c r="N16" s="2"/>
    </row>
    <row r="17" spans="2:14" ht="19.5" customHeight="1">
      <c r="B17" s="3"/>
      <c r="C17" s="12" t="s">
        <v>6</v>
      </c>
      <c r="D17" s="4"/>
      <c r="E17" s="4"/>
      <c r="F17" s="4"/>
      <c r="G17" s="4"/>
      <c r="H17" s="10" t="s">
        <v>5</v>
      </c>
      <c r="M17" s="9">
        <f>Inputs!$F$119</f>
        <v>0</v>
      </c>
      <c r="N17" s="2"/>
    </row>
    <row r="18" spans="2:14" ht="19.5" customHeight="1">
      <c r="B18" s="3"/>
      <c r="C18" s="12" t="s">
        <v>365</v>
      </c>
      <c r="D18" s="4"/>
      <c r="E18" s="4"/>
      <c r="F18" s="4"/>
      <c r="G18" s="4"/>
      <c r="H18" s="10" t="s">
        <v>4</v>
      </c>
      <c r="L18" s="10"/>
      <c r="M18" s="9">
        <f>IF(SUM(Model!$F$179:$N$179)&gt;0,1,0)</f>
        <v>0</v>
      </c>
      <c r="N18" s="2"/>
    </row>
    <row r="19" spans="2:14" ht="19.5" customHeight="1">
      <c r="B19" s="3"/>
      <c r="C19" s="11"/>
      <c r="D19" s="4"/>
      <c r="E19" s="4"/>
      <c r="F19" s="4"/>
      <c r="G19" s="4"/>
      <c r="H19" s="10" t="s">
        <v>3</v>
      </c>
      <c r="L19" s="10"/>
      <c r="M19" s="9">
        <f ca="1">Model!$D$366</f>
        <v>0</v>
      </c>
      <c r="N19" s="2"/>
    </row>
    <row r="20" spans="2:14" ht="19.5" customHeight="1">
      <c r="B20" s="3"/>
      <c r="C20" s="8"/>
      <c r="D20" s="4"/>
      <c r="E20" s="4"/>
      <c r="F20" s="4"/>
      <c r="G20" s="4"/>
      <c r="H20" s="10" t="s">
        <v>2</v>
      </c>
      <c r="L20" s="10"/>
      <c r="M20" s="9">
        <f>Model!$D$408</f>
        <v>0</v>
      </c>
      <c r="N20" s="2"/>
    </row>
    <row r="21" spans="2:14" ht="19.5" customHeight="1">
      <c r="B21" s="3"/>
      <c r="C21" s="8"/>
      <c r="D21" s="4"/>
      <c r="E21" s="4"/>
      <c r="F21" s="4"/>
      <c r="G21" s="4"/>
      <c r="H21" s="10" t="s">
        <v>1</v>
      </c>
      <c r="L21" s="10"/>
      <c r="M21" s="9">
        <f>IF(SUM(Model!$AI$427:$AN$427)&gt;0,1,0)</f>
        <v>0</v>
      </c>
      <c r="N21" s="2"/>
    </row>
    <row r="22" spans="2:14" ht="19.5" customHeight="1">
      <c r="B22" s="3"/>
      <c r="C22" s="8"/>
      <c r="D22" s="4"/>
      <c r="E22" s="4"/>
      <c r="F22" s="4"/>
      <c r="G22" s="4"/>
      <c r="H22" s="10"/>
      <c r="L22" s="10"/>
      <c r="M22" s="9"/>
      <c r="N22" s="2"/>
    </row>
    <row r="23" spans="2:14" ht="19.5" customHeight="1">
      <c r="B23" s="3"/>
      <c r="C23" s="8"/>
      <c r="D23" s="4"/>
      <c r="E23" s="4"/>
      <c r="F23" s="4"/>
      <c r="G23" s="4"/>
      <c r="N23" s="2"/>
    </row>
    <row r="24" spans="2:14" ht="19.5" customHeight="1">
      <c r="B24" s="3"/>
      <c r="C24" s="8"/>
      <c r="D24" s="4"/>
      <c r="E24" s="4"/>
      <c r="F24" s="4"/>
      <c r="G24" s="4"/>
      <c r="N24" s="2"/>
    </row>
    <row r="25" spans="2:14" ht="19.5" customHeight="1">
      <c r="B25" s="3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</row>
    <row r="26" spans="2:14" ht="19.5" customHeight="1">
      <c r="B26" s="3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</row>
    <row r="27" spans="2:14" ht="19.5" customHeight="1">
      <c r="B27" s="3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</row>
    <row r="28" spans="2:14" ht="19.5" customHeight="1">
      <c r="B28" s="3"/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</row>
    <row r="29" spans="2:14" ht="19.5" customHeight="1">
      <c r="B29" s="3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2"/>
    </row>
    <row r="30" spans="2:14" ht="19.5" customHeight="1">
      <c r="B30" s="3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2"/>
    </row>
    <row r="31" spans="2:14" ht="19.5" customHeight="1">
      <c r="B31" s="3"/>
      <c r="C31" s="556"/>
      <c r="D31" s="4"/>
      <c r="E31" s="4"/>
      <c r="F31" s="4"/>
      <c r="G31" s="4"/>
      <c r="H31" s="4"/>
      <c r="I31" s="4"/>
      <c r="J31" s="4"/>
      <c r="K31" s="4"/>
      <c r="L31" s="4"/>
      <c r="M31" s="4"/>
      <c r="N31" s="2"/>
    </row>
    <row r="32" spans="2:14" ht="19.5" customHeight="1">
      <c r="B32" s="3"/>
      <c r="C32" s="557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2"/>
    </row>
    <row r="33" spans="2:14" ht="19.5" customHeight="1">
      <c r="B33" s="3"/>
      <c r="C33" s="557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2"/>
    </row>
    <row r="34" spans="2:14" ht="19.5" customHeight="1">
      <c r="B34" s="3"/>
      <c r="C34" s="557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2"/>
    </row>
    <row r="35" spans="2:14" ht="19.5" customHeight="1">
      <c r="B35" s="3"/>
      <c r="C35" s="557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2"/>
    </row>
    <row r="36" spans="2:14" ht="19.5" customHeight="1">
      <c r="B36" s="3"/>
      <c r="C36" s="557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2"/>
    </row>
    <row r="37" spans="2:14" ht="19.5" customHeight="1">
      <c r="B37" s="3"/>
      <c r="C37" s="557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2"/>
    </row>
    <row r="38" spans="2:14" ht="19.5" customHeight="1">
      <c r="B38" s="3"/>
      <c r="C38" s="557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2"/>
    </row>
    <row r="39" spans="2:14" ht="19.5" customHeight="1" thickBot="1">
      <c r="B39" s="559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1" t="s">
        <v>0</v>
      </c>
    </row>
    <row r="40" spans="2:14" ht="19.5" customHeight="1" thickTop="1"/>
  </sheetData>
  <mergeCells count="1">
    <mergeCell ref="B2:F9"/>
  </mergeCells>
  <conditionalFormatting sqref="M15:M21">
    <cfRule type="expression" dxfId="24" priority="1">
      <formula>M15=1</formula>
    </cfRule>
  </conditionalFormatting>
  <hyperlinks>
    <hyperlink ref="C16:C17" location="Model!A1" display="Cover" xr:uid="{AD192172-2C16-47DC-9EC5-60B251707DB4}"/>
    <hyperlink ref="C16" location="Inputs!A1" tooltip="Inputs" display="Inputs" xr:uid="{2454690D-0468-45F9-975C-1B285F082D40}"/>
    <hyperlink ref="C17" location="Model!A1" tooltip="Model" display="Model" xr:uid="{48B6152A-C18E-4960-9475-E04AA9DDFF55}"/>
    <hyperlink ref="C18" location="DCF!A1" display="DCF" xr:uid="{27AEAA8B-369E-4391-B92B-A3DB13826E46}"/>
    <hyperlink ref="C15" location="Summary_Sheet!A1" display="Summary" xr:uid="{C13725AD-C4F4-4561-8840-695EC77A5A5A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EEED-6F81-4039-94D5-DB63A2306026}">
  <sheetPr>
    <pageSetUpPr autoPageBreaks="0"/>
  </sheetPr>
  <dimension ref="A1:AF89"/>
  <sheetViews>
    <sheetView showGridLines="0" zoomScaleNormal="100" zoomScaleSheetLayoutView="95" workbookViewId="0">
      <pane ySplit="1" topLeftCell="A2" activePane="bottomLeft" state="frozen"/>
      <selection pane="bottomLeft" activeCell="B3" sqref="B3"/>
    </sheetView>
  </sheetViews>
  <sheetFormatPr defaultColWidth="9.140625" defaultRowHeight="16.5" outlineLevelRow="1"/>
  <cols>
    <col min="1" max="1" width="9.140625" style="27"/>
    <col min="2" max="2" width="2.7109375" style="27" customWidth="1"/>
    <col min="3" max="3" width="11.7109375" style="27" customWidth="1"/>
    <col min="4" max="4" width="10.7109375" style="27" bestFit="1" customWidth="1"/>
    <col min="5" max="5" width="9.42578125" style="27" bestFit="1" customWidth="1"/>
    <col min="6" max="6" width="19.7109375" style="27" bestFit="1" customWidth="1"/>
    <col min="7" max="7" width="11.7109375" style="27" customWidth="1"/>
    <col min="8" max="8" width="10.28515625" style="27" customWidth="1"/>
    <col min="9" max="12" width="10.7109375" style="27" customWidth="1"/>
    <col min="13" max="13" width="19.7109375" style="27" bestFit="1" customWidth="1"/>
    <col min="14" max="15" width="10.28515625" style="27" customWidth="1"/>
    <col min="16" max="17" width="11.7109375" style="27" customWidth="1"/>
    <col min="18" max="18" width="3.7109375" style="27" customWidth="1"/>
    <col min="19" max="23" width="9.140625" style="27"/>
    <col min="24" max="24" width="9.42578125" style="27" bestFit="1" customWidth="1"/>
    <col min="25" max="26" width="10" style="27" bestFit="1" customWidth="1"/>
    <col min="27" max="27" width="10.28515625" style="27" bestFit="1" customWidth="1"/>
    <col min="28" max="29" width="10" style="27" bestFit="1" customWidth="1"/>
    <col min="30" max="16384" width="9.140625" style="27"/>
  </cols>
  <sheetData>
    <row r="1" spans="1:32" ht="50.1" customHeight="1">
      <c r="B1" s="507"/>
      <c r="C1" s="577" t="s">
        <v>363</v>
      </c>
      <c r="D1" s="573"/>
      <c r="E1" s="573"/>
      <c r="F1" s="60"/>
      <c r="G1" s="60"/>
      <c r="H1" s="60"/>
      <c r="I1" s="60"/>
      <c r="J1" s="61"/>
      <c r="K1" s="61"/>
      <c r="L1" s="60"/>
      <c r="M1" s="60"/>
      <c r="N1" s="60"/>
      <c r="O1" s="60"/>
      <c r="P1" s="60"/>
      <c r="Q1" s="60"/>
      <c r="R1" s="60"/>
      <c r="S1" s="37"/>
    </row>
    <row r="2" spans="1:32" ht="15" customHeight="1"/>
    <row r="3" spans="1:32" ht="15" customHeight="1">
      <c r="A3" s="58" t="s">
        <v>0</v>
      </c>
      <c r="B3" s="57" t="s">
        <v>366</v>
      </c>
      <c r="C3" s="56"/>
      <c r="D3" s="56"/>
      <c r="E3" s="55"/>
      <c r="F3" s="55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1"/>
    </row>
    <row r="4" spans="1:32" ht="15" hidden="1" customHeight="1" outlineLevel="1">
      <c r="A4" s="59"/>
      <c r="B4" s="43"/>
      <c r="C4" s="53"/>
      <c r="D4" s="53"/>
      <c r="E4" s="52"/>
      <c r="F4" s="52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32" ht="15" hidden="1" customHeight="1" outlineLevel="1">
      <c r="A5" s="58"/>
      <c r="C5" s="48" t="s">
        <v>367</v>
      </c>
      <c r="F5" s="47"/>
      <c r="G5" s="50"/>
      <c r="H5" s="47"/>
      <c r="I5" s="47"/>
      <c r="J5" s="49"/>
      <c r="K5" s="49"/>
      <c r="L5" s="49"/>
      <c r="M5" s="36"/>
      <c r="N5" s="36"/>
      <c r="O5" s="36"/>
      <c r="P5" s="36"/>
    </row>
    <row r="6" spans="1:32" ht="15" hidden="1" customHeight="1" outlineLevel="1">
      <c r="C6" s="48" t="s">
        <v>368</v>
      </c>
      <c r="N6" s="32"/>
      <c r="O6" s="32"/>
      <c r="P6" s="32"/>
    </row>
    <row r="7" spans="1:32" ht="15" hidden="1" customHeight="1" outlineLevel="1">
      <c r="C7" s="48" t="s">
        <v>369</v>
      </c>
    </row>
    <row r="8" spans="1:32" ht="15" hidden="1" customHeight="1" outlineLevel="1">
      <c r="C8" s="48"/>
    </row>
    <row r="9" spans="1:32" ht="15" hidden="1" customHeight="1" outlineLevel="1">
      <c r="C9" s="48" t="s">
        <v>263</v>
      </c>
    </row>
    <row r="10" spans="1:32" s="37" customFormat="1" ht="15" hidden="1" customHeight="1" outlineLevel="1" thickBot="1">
      <c r="A10" s="27"/>
      <c r="B10" s="42"/>
      <c r="C10" s="42"/>
      <c r="D10" s="42"/>
      <c r="E10" s="42"/>
      <c r="F10" s="42"/>
      <c r="G10" s="42"/>
      <c r="H10" s="42"/>
      <c r="I10" s="42"/>
      <c r="J10" s="42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2" ht="15" hidden="1" customHeight="1" outlineLevel="1">
      <c r="B11" s="171"/>
      <c r="C11" s="171"/>
      <c r="D11" s="171"/>
      <c r="E11" s="171"/>
      <c r="F11" s="171"/>
      <c r="G11" s="171"/>
      <c r="H11" s="171"/>
      <c r="I11" s="171"/>
      <c r="J11" s="171"/>
      <c r="K11" s="36"/>
    </row>
    <row r="12" spans="1:32" ht="15" hidden="1" customHeight="1" outlineLevel="1">
      <c r="A12" s="37"/>
      <c r="B12" s="41" t="s">
        <v>16</v>
      </c>
      <c r="C12" s="37"/>
      <c r="D12" s="37"/>
      <c r="E12" s="37"/>
      <c r="F12" s="67">
        <f>Inputs!F115</f>
        <v>258.87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32" ht="15" hidden="1" customHeight="1" outlineLevel="1">
      <c r="B13" s="41" t="s">
        <v>370</v>
      </c>
      <c r="F13" s="579">
        <f ca="1">DCF!M82</f>
        <v>134.64813983142349</v>
      </c>
    </row>
    <row r="14" spans="1:32" ht="15" hidden="1" customHeight="1" outlineLevel="1">
      <c r="B14" s="41" t="s">
        <v>371</v>
      </c>
      <c r="F14" s="579">
        <f ca="1">DCF!M129</f>
        <v>207.81543103950492</v>
      </c>
      <c r="K14" s="36"/>
    </row>
    <row r="15" spans="1:32" ht="15" hidden="1" customHeight="1" outlineLevel="1">
      <c r="B15" s="41" t="s">
        <v>12</v>
      </c>
      <c r="F15" s="74">
        <f>Inputs!L76</f>
        <v>8.5644089949890478E-2</v>
      </c>
      <c r="K15" s="36"/>
    </row>
    <row r="16" spans="1:32" s="37" customFormat="1" ht="15" hidden="1" customHeight="1" outlineLevel="1">
      <c r="A16" s="27"/>
      <c r="B16" s="36" t="s">
        <v>21</v>
      </c>
      <c r="C16" s="27"/>
      <c r="D16" s="27"/>
      <c r="E16" s="27"/>
      <c r="F16" s="79">
        <f>Inputs!F116</f>
        <v>2.5000000000000001E-2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 s="37" customFormat="1" ht="15" hidden="1" customHeight="1" outlineLevel="1">
      <c r="A17" s="27"/>
      <c r="B17" s="36" t="s">
        <v>372</v>
      </c>
      <c r="C17" s="27"/>
      <c r="D17" s="27"/>
      <c r="E17" s="27"/>
      <c r="F17" s="63">
        <f>Inputs!F117</f>
        <v>22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 ht="15" hidden="1" customHeight="1" outlineLevel="1">
      <c r="B18" s="41" t="s">
        <v>373</v>
      </c>
      <c r="F18" s="580">
        <f ca="1">AVERAGE(((F13-F12)/F12),(F14-F12)/F12)</f>
        <v>-0.33854140906453356</v>
      </c>
    </row>
    <row r="19" spans="1:32" ht="15" hidden="1" customHeight="1" outlineLevel="1">
      <c r="F19" s="74"/>
    </row>
    <row r="20" spans="1:32" ht="15" hidden="1" customHeight="1" outlineLevel="1" thickBot="1">
      <c r="B20" s="42"/>
      <c r="C20" s="42"/>
      <c r="D20" s="42"/>
      <c r="E20" s="42"/>
      <c r="F20" s="42"/>
      <c r="G20" s="42"/>
      <c r="H20" s="42"/>
      <c r="I20" s="42"/>
      <c r="J20" s="42"/>
    </row>
    <row r="21" spans="1:32" ht="15" hidden="1" customHeight="1" outlineLevel="1"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32" s="31" customFormat="1" ht="15" hidden="1" customHeight="1" outlineLevel="1" thickBo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spans="1:32" ht="15" hidden="1" customHeight="1" outlineLevel="1" thickBot="1">
      <c r="D23" s="581" t="str">
        <f ca="1">HYPERLINK(LEFT(CELL("filename",A1),FIND("[",CELL("filename",A1))-1)&amp;"Apple_dashboard.pbix","▶ View Power BI Dashboard")</f>
        <v>▶ View Power BI Dashboard</v>
      </c>
      <c r="E23" s="582"/>
      <c r="F23" s="583"/>
    </row>
    <row r="24" spans="1:32" ht="15" hidden="1" customHeight="1" outlineLevel="1"/>
    <row r="25" spans="1:32" ht="15" hidden="1" customHeight="1" outlineLevel="1"/>
    <row r="26" spans="1:32" ht="15" customHeight="1" collapsed="1"/>
    <row r="27" spans="1:32" ht="15" customHeight="1">
      <c r="B27" s="57" t="s">
        <v>357</v>
      </c>
      <c r="C27" s="56"/>
      <c r="D27" s="56"/>
      <c r="E27" s="55"/>
      <c r="F27" s="55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</row>
    <row r="28" spans="1:32" ht="15" hidden="1" customHeight="1" outlineLevel="1" thickBot="1"/>
    <row r="29" spans="1:32" ht="15" hidden="1" customHeight="1" outlineLevel="1" thickBot="1">
      <c r="C29" s="562" t="s">
        <v>358</v>
      </c>
      <c r="D29" s="562" t="s">
        <v>360</v>
      </c>
      <c r="E29" s="562" t="s">
        <v>361</v>
      </c>
      <c r="F29" s="562" t="s">
        <v>17</v>
      </c>
      <c r="G29" s="250"/>
      <c r="I29" s="562" t="s">
        <v>358</v>
      </c>
      <c r="J29" s="562" t="s">
        <v>360</v>
      </c>
      <c r="K29" s="562" t="s">
        <v>128</v>
      </c>
      <c r="L29" s="562" t="s">
        <v>361</v>
      </c>
      <c r="M29" s="562" t="s">
        <v>17</v>
      </c>
    </row>
    <row r="30" spans="1:32" ht="15" hidden="1" customHeight="1" outlineLevel="1">
      <c r="C30" s="563">
        <v>2026</v>
      </c>
      <c r="D30" s="566">
        <f>DCF!I21</f>
        <v>112360.89364601109</v>
      </c>
      <c r="E30" s="570">
        <f>-Inputs!$L$107</f>
        <v>54286</v>
      </c>
      <c r="F30" s="570">
        <f>Inputs!$F$114</f>
        <v>14776</v>
      </c>
      <c r="I30" s="563">
        <v>2026</v>
      </c>
      <c r="J30" s="566">
        <f ca="1">DCF!I31</f>
        <v>112360.89364601109</v>
      </c>
      <c r="K30" s="566">
        <f>DCF!$N$98</f>
        <v>177027.97407258677</v>
      </c>
      <c r="L30" s="570">
        <f>-Inputs!$L$107</f>
        <v>54286</v>
      </c>
      <c r="M30" s="570">
        <f>Inputs!$F$114</f>
        <v>14776</v>
      </c>
    </row>
    <row r="31" spans="1:32" ht="15" hidden="1" customHeight="1" outlineLevel="1">
      <c r="C31" s="565">
        <v>2027</v>
      </c>
      <c r="D31" s="568">
        <f>DCF!J21</f>
        <v>121173.01953999585</v>
      </c>
      <c r="E31" s="571">
        <f>-Inputs!$L$107</f>
        <v>54286</v>
      </c>
      <c r="F31" s="571">
        <f>Inputs!$F$114</f>
        <v>14776</v>
      </c>
      <c r="I31" s="565">
        <v>2027</v>
      </c>
      <c r="J31" s="568">
        <f ca="1">DCF!J31</f>
        <v>121173.01953999582</v>
      </c>
      <c r="K31" s="568">
        <f>DCF!$N$98</f>
        <v>177027.97407258677</v>
      </c>
      <c r="L31" s="571">
        <f>-Inputs!$L$107</f>
        <v>54286</v>
      </c>
      <c r="M31" s="571">
        <f>Inputs!$F$114</f>
        <v>14776</v>
      </c>
    </row>
    <row r="32" spans="1:32" ht="15" hidden="1" customHeight="1" outlineLevel="1">
      <c r="C32" s="565">
        <v>2028</v>
      </c>
      <c r="D32" s="568">
        <f>DCF!K21</f>
        <v>125735.18666456845</v>
      </c>
      <c r="E32" s="571">
        <f>-Inputs!$L$107</f>
        <v>54286</v>
      </c>
      <c r="F32" s="571">
        <f>Inputs!$F$114</f>
        <v>14776</v>
      </c>
      <c r="I32" s="565">
        <v>2028</v>
      </c>
      <c r="J32" s="568">
        <f ca="1">DCF!K31</f>
        <v>125735.18666456848</v>
      </c>
      <c r="K32" s="568">
        <f>DCF!$N$98</f>
        <v>177027.97407258677</v>
      </c>
      <c r="L32" s="571">
        <f>-Inputs!$L$107</f>
        <v>54286</v>
      </c>
      <c r="M32" s="571">
        <f>Inputs!$F$114</f>
        <v>14776</v>
      </c>
    </row>
    <row r="33" spans="2:13" ht="15" hidden="1" customHeight="1" outlineLevel="1">
      <c r="C33" s="565">
        <v>2029</v>
      </c>
      <c r="D33" s="568">
        <f>DCF!L21</f>
        <v>128851.36442589061</v>
      </c>
      <c r="E33" s="571">
        <f>-Inputs!$L$107</f>
        <v>54286</v>
      </c>
      <c r="F33" s="571">
        <f>Inputs!$F$114</f>
        <v>14776</v>
      </c>
      <c r="I33" s="565">
        <v>2029</v>
      </c>
      <c r="J33" s="568">
        <f ca="1">DCF!L31</f>
        <v>128851.36442589061</v>
      </c>
      <c r="K33" s="568">
        <f>DCF!$N$98</f>
        <v>177027.97407258677</v>
      </c>
      <c r="L33" s="571">
        <f>-Inputs!$L$107</f>
        <v>54286</v>
      </c>
      <c r="M33" s="571">
        <f>Inputs!$F$114</f>
        <v>14776</v>
      </c>
    </row>
    <row r="34" spans="2:13" ht="15" hidden="1" customHeight="1" outlineLevel="1">
      <c r="C34" s="565">
        <v>2030</v>
      </c>
      <c r="D34" s="568">
        <f>DCF!M21</f>
        <v>131822.80107032054</v>
      </c>
      <c r="E34" s="571">
        <f>-Inputs!$L$107</f>
        <v>54286</v>
      </c>
      <c r="F34" s="571">
        <f>Inputs!$F$114</f>
        <v>14776</v>
      </c>
      <c r="I34" s="565">
        <v>2030</v>
      </c>
      <c r="J34" s="568">
        <f ca="1">DCF!M31</f>
        <v>131822.80107032057</v>
      </c>
      <c r="K34" s="568">
        <f>DCF!$N$98</f>
        <v>177027.97407258677</v>
      </c>
      <c r="L34" s="571">
        <f>-Inputs!$L$107</f>
        <v>54286</v>
      </c>
      <c r="M34" s="571">
        <f>Inputs!$F$114</f>
        <v>14776</v>
      </c>
    </row>
    <row r="35" spans="2:13" ht="15" hidden="1" customHeight="1" outlineLevel="1" thickBot="1">
      <c r="C35" s="564" t="s">
        <v>359</v>
      </c>
      <c r="D35" s="567">
        <f>DCF!N21</f>
        <v>130172.29688306227</v>
      </c>
      <c r="E35" s="569">
        <f>-Inputs!$L$107</f>
        <v>54286</v>
      </c>
      <c r="F35" s="569">
        <f>Inputs!$F$114</f>
        <v>14776</v>
      </c>
      <c r="I35" s="564" t="s">
        <v>359</v>
      </c>
      <c r="J35" s="567">
        <f ca="1">DCF!N31</f>
        <v>130172.29688306224</v>
      </c>
      <c r="K35" s="567">
        <f>DCF!$N$98</f>
        <v>177027.97407258677</v>
      </c>
      <c r="L35" s="569">
        <f>-Inputs!$L$107</f>
        <v>54286</v>
      </c>
      <c r="M35" s="569">
        <f>Inputs!$F$114</f>
        <v>14776</v>
      </c>
    </row>
    <row r="36" spans="2:13" ht="15" hidden="1" customHeight="1" outlineLevel="1"/>
    <row r="37" spans="2:13" ht="15" hidden="1" customHeight="1" outlineLevel="1"/>
    <row r="38" spans="2:13" ht="15" hidden="1" customHeight="1" outlineLevel="1">
      <c r="B38" s="584" t="s">
        <v>374</v>
      </c>
    </row>
    <row r="39" spans="2:13" ht="15" hidden="1" customHeight="1" outlineLevel="1">
      <c r="B39" s="584" t="s">
        <v>375</v>
      </c>
    </row>
    <row r="40" spans="2:13" ht="15" hidden="1" customHeight="1" outlineLevel="1">
      <c r="B40" s="584" t="s">
        <v>376</v>
      </c>
    </row>
    <row r="41" spans="2:13" ht="15" hidden="1" customHeight="1" outlineLevel="1"/>
    <row r="42" spans="2:13" ht="15" hidden="1" customHeight="1" outlineLevel="1"/>
    <row r="43" spans="2:13" ht="15" hidden="1" customHeight="1" outlineLevel="1"/>
    <row r="44" spans="2:13" ht="15" customHeight="1" collapsed="1"/>
    <row r="45" spans="2:13" ht="15" customHeight="1"/>
    <row r="46" spans="2:13" ht="15" customHeight="1"/>
    <row r="47" spans="2:13" ht="15" customHeight="1"/>
    <row r="48" spans="2:1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</sheetData>
  <mergeCells count="1">
    <mergeCell ref="C1:E1"/>
  </mergeCells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rowBreaks count="1" manualBreakCount="1">
    <brk id="49" min="1" max="17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7756-A2B2-46A9-ADDA-1F6595EF7C7E}">
  <sheetPr>
    <pageSetUpPr autoPageBreaks="0"/>
  </sheetPr>
  <dimension ref="A1:Z149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9.140625" defaultRowHeight="15" customHeight="1" outlineLevelRow="1"/>
  <cols>
    <col min="1" max="1" width="9.140625" style="27"/>
    <col min="2" max="2" width="12.85546875" style="27" customWidth="1"/>
    <col min="3" max="5" width="11.85546875" style="27" customWidth="1"/>
    <col min="6" max="6" width="12.28515625" style="27" bestFit="1" customWidth="1"/>
    <col min="7" max="12" width="11.85546875" style="27" customWidth="1"/>
    <col min="13" max="13" width="1.7109375" style="27" customWidth="1"/>
    <col min="14" max="16384" width="9.140625" style="27"/>
  </cols>
  <sheetData>
    <row r="1" spans="1:13" ht="50.1" customHeight="1">
      <c r="A1" s="37"/>
      <c r="B1" s="575" t="s">
        <v>364</v>
      </c>
      <c r="C1" s="576"/>
      <c r="D1" s="576"/>
      <c r="E1" s="576"/>
      <c r="F1" s="60"/>
      <c r="G1" s="61"/>
      <c r="H1" s="61"/>
      <c r="I1" s="60"/>
      <c r="J1" s="60"/>
      <c r="K1" s="60"/>
      <c r="L1" s="60"/>
      <c r="M1" s="37"/>
    </row>
    <row r="2" spans="1:13" ht="15" customHeight="1">
      <c r="A2" s="58"/>
      <c r="B2" s="58"/>
      <c r="C2" s="106"/>
      <c r="D2" s="106"/>
      <c r="E2" s="106"/>
      <c r="F2" s="106"/>
      <c r="G2" s="65"/>
      <c r="H2" s="105"/>
      <c r="I2" s="105"/>
      <c r="J2" s="105"/>
      <c r="K2" s="105"/>
      <c r="L2" s="105"/>
      <c r="M2" s="104"/>
    </row>
    <row r="3" spans="1:13" ht="15" customHeight="1">
      <c r="A3" s="58" t="s">
        <v>0</v>
      </c>
      <c r="B3" s="57" t="s">
        <v>104</v>
      </c>
      <c r="C3" s="56"/>
      <c r="D3" s="56"/>
      <c r="E3" s="56"/>
      <c r="F3" s="55"/>
      <c r="G3" s="54"/>
      <c r="H3" s="54"/>
      <c r="I3" s="54"/>
      <c r="J3" s="54"/>
      <c r="K3" s="54"/>
      <c r="L3" s="54"/>
      <c r="M3" s="51"/>
    </row>
    <row r="4" spans="1:13" ht="15" customHeight="1" outlineLevel="1">
      <c r="A4" s="58"/>
      <c r="B4" s="183"/>
      <c r="C4" s="53"/>
      <c r="D4" s="52"/>
      <c r="E4" s="52"/>
      <c r="F4" s="51"/>
      <c r="G4" s="51"/>
      <c r="H4" s="51"/>
      <c r="I4" s="51"/>
      <c r="J4" s="51"/>
      <c r="K4" s="51"/>
      <c r="L4" s="51"/>
      <c r="M4" s="51"/>
    </row>
    <row r="5" spans="1:13" ht="15" customHeight="1" outlineLevel="1" thickBot="1">
      <c r="A5" s="58"/>
      <c r="B5" s="43" t="s">
        <v>263</v>
      </c>
      <c r="C5" s="53"/>
      <c r="D5" s="47"/>
      <c r="E5" s="47"/>
      <c r="F5" s="50"/>
      <c r="G5" s="234">
        <f>$F$106</f>
        <v>2026</v>
      </c>
      <c r="H5" s="234">
        <f>G5+1</f>
        <v>2027</v>
      </c>
      <c r="I5" s="234">
        <f>H5+1</f>
        <v>2028</v>
      </c>
      <c r="J5" s="234">
        <f>I5+1</f>
        <v>2029</v>
      </c>
      <c r="K5" s="234">
        <f>J5+1</f>
        <v>2030</v>
      </c>
      <c r="L5" s="234" t="s">
        <v>103</v>
      </c>
    </row>
    <row r="6" spans="1:13" s="11" customFormat="1" ht="15" customHeight="1" outlineLevel="1">
      <c r="B6" s="42"/>
      <c r="D6" s="36"/>
      <c r="E6" s="36"/>
      <c r="F6" s="36"/>
      <c r="G6" s="36"/>
      <c r="H6" s="36"/>
      <c r="I6" s="232"/>
      <c r="J6" s="231"/>
    </row>
    <row r="7" spans="1:13" s="11" customFormat="1" ht="15" customHeight="1" outlineLevel="1">
      <c r="B7" s="194" t="s">
        <v>102</v>
      </c>
      <c r="D7" s="233">
        <v>2</v>
      </c>
      <c r="E7" s="36"/>
      <c r="F7" s="36"/>
      <c r="G7" s="36"/>
      <c r="H7" s="36"/>
      <c r="I7" s="232"/>
      <c r="J7" s="231"/>
    </row>
    <row r="8" spans="1:13" s="11" customFormat="1" ht="15" customHeight="1" outlineLevel="1">
      <c r="C8" s="36"/>
      <c r="D8" s="36"/>
      <c r="E8" s="36"/>
      <c r="F8" s="36"/>
      <c r="G8" s="36"/>
      <c r="H8" s="232"/>
      <c r="I8" s="231"/>
    </row>
    <row r="9" spans="1:13" s="11" customFormat="1" ht="15" customHeight="1" outlineLevel="1">
      <c r="C9" s="36"/>
      <c r="D9" s="36"/>
      <c r="E9" s="36"/>
      <c r="F9" s="36"/>
      <c r="G9" s="36"/>
      <c r="H9" s="232"/>
      <c r="I9" s="231"/>
    </row>
    <row r="10" spans="1:13" s="11" customFormat="1" ht="15" customHeight="1" outlineLevel="1">
      <c r="B10" s="194" t="s">
        <v>101</v>
      </c>
      <c r="D10" s="41"/>
      <c r="E10" s="41"/>
      <c r="F10" s="41"/>
      <c r="G10" s="224" cm="1">
        <f t="array" ref="G10">INDEX(G12:G14,$D$7)</f>
        <v>4.2999999999999997E-2</v>
      </c>
      <c r="H10" s="223" cm="1">
        <f t="array" ref="H10">INDEX(H12:H14,$D$7)</f>
        <v>3.2000000000000001E-2</v>
      </c>
      <c r="I10" s="223" cm="1">
        <f t="array" ref="I10">INDEX(I12:I14,$D$7)</f>
        <v>1.7000000000000001E-2</v>
      </c>
      <c r="J10" s="223" cm="1">
        <f t="array" ref="J10">INDEX(J12:J14,$D$7)</f>
        <v>1.6E-2</v>
      </c>
      <c r="K10" s="223" cm="1">
        <f t="array" ref="K10">INDEX(K12:K14,$D$7)</f>
        <v>1.6E-2</v>
      </c>
      <c r="L10" s="222" cm="1">
        <f t="array" ref="L10">INDEX(L12:L14,$D$7)</f>
        <v>0.01</v>
      </c>
    </row>
    <row r="11" spans="1:13" s="11" customFormat="1" ht="15" customHeight="1" outlineLevel="1">
      <c r="C11" s="36"/>
      <c r="D11" s="36"/>
      <c r="E11" s="36"/>
      <c r="F11" s="36"/>
      <c r="G11" s="228"/>
      <c r="H11" s="230"/>
      <c r="I11" s="226"/>
      <c r="J11" s="225"/>
      <c r="K11" s="225"/>
      <c r="L11" s="225"/>
    </row>
    <row r="12" spans="1:13" s="11" customFormat="1" ht="15" customHeight="1" outlineLevel="1">
      <c r="B12" s="201" t="s">
        <v>24</v>
      </c>
      <c r="C12" s="229"/>
      <c r="D12" s="36"/>
      <c r="E12" s="36"/>
      <c r="F12" s="36"/>
      <c r="G12" s="217">
        <v>6.5000000000000002E-2</v>
      </c>
      <c r="H12" s="216">
        <v>5.5E-2</v>
      </c>
      <c r="I12" s="216">
        <v>0.04</v>
      </c>
      <c r="J12" s="216">
        <v>3.5000000000000003E-2</v>
      </c>
      <c r="K12" s="216">
        <v>3.5000000000000003E-2</v>
      </c>
      <c r="L12" s="215">
        <v>0.03</v>
      </c>
    </row>
    <row r="13" spans="1:13" s="11" customFormat="1" ht="15" customHeight="1" outlineLevel="1">
      <c r="B13" s="201" t="s">
        <v>23</v>
      </c>
      <c r="C13" s="36"/>
      <c r="D13" s="36"/>
      <c r="E13" s="36"/>
      <c r="F13" s="36"/>
      <c r="G13" s="214">
        <v>4.2999999999999997E-2</v>
      </c>
      <c r="H13" s="132">
        <v>3.2000000000000001E-2</v>
      </c>
      <c r="I13" s="132">
        <v>1.7000000000000001E-2</v>
      </c>
      <c r="J13" s="132">
        <v>1.6E-2</v>
      </c>
      <c r="K13" s="132">
        <v>1.6E-2</v>
      </c>
      <c r="L13" s="213">
        <v>0.01</v>
      </c>
    </row>
    <row r="14" spans="1:13" s="11" customFormat="1" ht="15" customHeight="1" outlineLevel="1">
      <c r="B14" s="201" t="s">
        <v>22</v>
      </c>
      <c r="C14" s="36"/>
      <c r="D14" s="36"/>
      <c r="E14" s="36"/>
      <c r="F14" s="36"/>
      <c r="G14" s="212">
        <v>0.01</v>
      </c>
      <c r="H14" s="131">
        <v>0</v>
      </c>
      <c r="I14" s="131">
        <v>-1.4999999999999999E-2</v>
      </c>
      <c r="J14" s="131">
        <v>-0.02</v>
      </c>
      <c r="K14" s="131">
        <v>-0.02</v>
      </c>
      <c r="L14" s="211">
        <v>0</v>
      </c>
    </row>
    <row r="15" spans="1:13" s="11" customFormat="1" ht="15" customHeight="1" outlineLevel="1">
      <c r="B15" s="42"/>
      <c r="C15" s="196"/>
      <c r="D15" s="196"/>
      <c r="E15" s="196"/>
      <c r="F15" s="196"/>
      <c r="G15" s="228"/>
      <c r="H15" s="227"/>
      <c r="I15" s="226"/>
      <c r="J15" s="225"/>
      <c r="K15" s="225"/>
      <c r="L15" s="225"/>
    </row>
    <row r="16" spans="1:13" s="11" customFormat="1" ht="15" customHeight="1" outlineLevel="1">
      <c r="B16" s="42"/>
      <c r="C16" s="196"/>
      <c r="D16" s="196"/>
      <c r="E16" s="196"/>
      <c r="F16" s="196"/>
      <c r="G16" s="228"/>
      <c r="H16" s="227"/>
      <c r="I16" s="226"/>
      <c r="J16" s="225"/>
      <c r="K16" s="225"/>
      <c r="L16" s="225"/>
    </row>
    <row r="17" spans="2:12" s="11" customFormat="1" ht="15" customHeight="1" outlineLevel="1">
      <c r="B17" s="194" t="s">
        <v>100</v>
      </c>
      <c r="C17" s="196"/>
      <c r="D17" s="196"/>
      <c r="E17" s="196"/>
      <c r="F17" s="196"/>
      <c r="G17" s="224" cm="1">
        <f t="array" ref="G17">INDEX(G19:G21,$D$7)</f>
        <v>2.5000000000000001E-2</v>
      </c>
      <c r="H17" s="223" cm="1">
        <f t="array" ref="H17">INDEX(H19:H21,$D$7)</f>
        <v>1.4999999999999999E-2</v>
      </c>
      <c r="I17" s="223" cm="1">
        <f t="array" ref="I17">INDEX(I19:I21,$D$7)</f>
        <v>1.4999999999999999E-2</v>
      </c>
      <c r="J17" s="223" cm="1">
        <f t="array" ref="J17">INDEX(J19:J21,$D$7)</f>
        <v>0.01</v>
      </c>
      <c r="K17" s="223" cm="1">
        <f t="array" ref="K17">INDEX(K19:K21,$D$7)</f>
        <v>0.01</v>
      </c>
      <c r="L17" s="222" cm="1">
        <f t="array" ref="L17">INDEX(L19:L21,$D$7)</f>
        <v>1.4999999999999999E-2</v>
      </c>
    </row>
    <row r="18" spans="2:12" s="11" customFormat="1" ht="15" customHeight="1" outlineLevel="1">
      <c r="B18" s="42"/>
      <c r="C18" s="196"/>
      <c r="D18" s="196"/>
      <c r="E18" s="196"/>
      <c r="F18" s="196"/>
      <c r="G18" s="221"/>
      <c r="H18" s="220"/>
      <c r="I18" s="219"/>
      <c r="J18" s="218"/>
      <c r="K18" s="218"/>
      <c r="L18" s="218"/>
    </row>
    <row r="19" spans="2:12" s="11" customFormat="1" ht="15" customHeight="1" outlineLevel="1">
      <c r="B19" s="201" t="str">
        <f>$B$12</f>
        <v>Best Case</v>
      </c>
      <c r="C19" s="36"/>
      <c r="D19" s="36"/>
      <c r="E19" s="36"/>
      <c r="F19" s="36"/>
      <c r="G19" s="217">
        <v>3.5000000000000003E-2</v>
      </c>
      <c r="H19" s="216">
        <v>2.5000000000000001E-2</v>
      </c>
      <c r="I19" s="216">
        <v>0.02</v>
      </c>
      <c r="J19" s="216">
        <v>0.02</v>
      </c>
      <c r="K19" s="216">
        <v>0.02</v>
      </c>
      <c r="L19" s="215">
        <v>0.02</v>
      </c>
    </row>
    <row r="20" spans="2:12" s="11" customFormat="1" ht="15" customHeight="1" outlineLevel="1">
      <c r="B20" s="201" t="str">
        <f>$B$13</f>
        <v>Base Case</v>
      </c>
      <c r="C20" s="36"/>
      <c r="D20" s="36"/>
      <c r="E20" s="36"/>
      <c r="F20" s="36"/>
      <c r="G20" s="214">
        <v>2.5000000000000001E-2</v>
      </c>
      <c r="H20" s="132">
        <v>1.4999999999999999E-2</v>
      </c>
      <c r="I20" s="132">
        <v>1.4999999999999999E-2</v>
      </c>
      <c r="J20" s="132">
        <v>0.01</v>
      </c>
      <c r="K20" s="132">
        <v>0.01</v>
      </c>
      <c r="L20" s="213">
        <v>1.4999999999999999E-2</v>
      </c>
    </row>
    <row r="21" spans="2:12" s="11" customFormat="1" ht="15" customHeight="1" outlineLevel="1">
      <c r="B21" s="201" t="str">
        <f>$B$14</f>
        <v>Worst Case</v>
      </c>
      <c r="C21" s="36"/>
      <c r="D21" s="36"/>
      <c r="E21" s="36"/>
      <c r="F21" s="36"/>
      <c r="G21" s="212">
        <v>-0.01</v>
      </c>
      <c r="H21" s="131">
        <v>0</v>
      </c>
      <c r="I21" s="131">
        <v>0</v>
      </c>
      <c r="J21" s="131">
        <v>-5.0000000000000001E-3</v>
      </c>
      <c r="K21" s="131">
        <v>-0.01</v>
      </c>
      <c r="L21" s="211">
        <v>5.0000000000000001E-3</v>
      </c>
    </row>
    <row r="22" spans="2:12" s="11" customFormat="1" ht="15" customHeight="1" outlineLevel="1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</row>
    <row r="23" spans="2:12" s="11" customFormat="1" ht="15" customHeight="1" outlineLevel="1">
      <c r="C23" s="196"/>
      <c r="D23" s="196"/>
      <c r="E23" s="196"/>
      <c r="F23" s="196"/>
      <c r="G23" s="62"/>
      <c r="H23" s="62"/>
      <c r="I23" s="62"/>
      <c r="J23" s="62"/>
      <c r="K23" s="62"/>
      <c r="L23" s="62"/>
    </row>
    <row r="24" spans="2:12" s="11" customFormat="1" ht="15" customHeight="1" outlineLevel="1">
      <c r="B24" s="194" t="s">
        <v>99</v>
      </c>
      <c r="C24" s="196"/>
      <c r="D24" s="196"/>
      <c r="E24" s="196"/>
      <c r="F24" s="196"/>
      <c r="G24" s="210" cm="1">
        <f t="array" ref="G24">INDEX(G26:G28,$D$7)</f>
        <v>14500</v>
      </c>
      <c r="H24" s="209" cm="1">
        <f t="array" ref="H24">INDEX(H26:H28,$D$7)</f>
        <v>15200</v>
      </c>
      <c r="I24" s="209" cm="1">
        <f t="array" ref="I24">INDEX(I26:I28,$D$7)</f>
        <v>15800</v>
      </c>
      <c r="J24" s="209" cm="1">
        <f t="array" ref="J24">INDEX(J26:J28,$D$7)</f>
        <v>16500</v>
      </c>
      <c r="K24" s="209" cm="1">
        <f t="array" ref="K24">INDEX(K26:K28,$D$7)</f>
        <v>17200</v>
      </c>
      <c r="L24" s="208" cm="1">
        <f t="array" ref="L24">INDEX(L26:L28,$D$7)</f>
        <v>18500</v>
      </c>
    </row>
    <row r="25" spans="2:12" s="11" customFormat="1" ht="15" customHeight="1" outlineLevel="1">
      <c r="B25" s="42"/>
      <c r="C25" s="196"/>
      <c r="D25" s="196"/>
      <c r="E25" s="196"/>
      <c r="F25" s="196"/>
      <c r="G25" s="207"/>
      <c r="H25" s="206"/>
      <c r="I25" s="205"/>
      <c r="J25" s="204"/>
      <c r="K25" s="204"/>
      <c r="L25" s="204"/>
    </row>
    <row r="26" spans="2:12" s="11" customFormat="1" ht="15" customHeight="1" outlineLevel="1">
      <c r="B26" s="201" t="str">
        <f>$B$12</f>
        <v>Best Case</v>
      </c>
      <c r="C26" s="36"/>
      <c r="D26" s="36"/>
      <c r="E26" s="36"/>
      <c r="F26" s="36"/>
      <c r="G26" s="193">
        <v>16000</v>
      </c>
      <c r="H26" s="192">
        <v>17500</v>
      </c>
      <c r="I26" s="192">
        <v>18500</v>
      </c>
      <c r="J26" s="192">
        <v>20000</v>
      </c>
      <c r="K26" s="192">
        <v>22000</v>
      </c>
      <c r="L26" s="203">
        <v>23000</v>
      </c>
    </row>
    <row r="27" spans="2:12" s="11" customFormat="1" ht="15" customHeight="1" outlineLevel="1">
      <c r="B27" s="201" t="str">
        <f>$B$13</f>
        <v>Base Case</v>
      </c>
      <c r="C27" s="36"/>
      <c r="D27" s="36"/>
      <c r="E27" s="36"/>
      <c r="F27" s="36"/>
      <c r="G27" s="190">
        <v>14500</v>
      </c>
      <c r="H27" s="154">
        <v>15200</v>
      </c>
      <c r="I27" s="154">
        <v>15800</v>
      </c>
      <c r="J27" s="154">
        <v>16500</v>
      </c>
      <c r="K27" s="154">
        <v>17200</v>
      </c>
      <c r="L27" s="202">
        <v>18500</v>
      </c>
    </row>
    <row r="28" spans="2:12" s="11" customFormat="1" ht="15" customHeight="1" outlineLevel="1">
      <c r="B28" s="201" t="str">
        <f>$B$14</f>
        <v>Worst Case</v>
      </c>
      <c r="C28" s="36"/>
      <c r="D28" s="36"/>
      <c r="E28" s="36"/>
      <c r="F28" s="36"/>
      <c r="G28" s="187">
        <v>13500</v>
      </c>
      <c r="H28" s="186">
        <v>14000</v>
      </c>
      <c r="I28" s="186">
        <v>14500</v>
      </c>
      <c r="J28" s="186">
        <v>15000</v>
      </c>
      <c r="K28" s="186">
        <v>15500</v>
      </c>
      <c r="L28" s="200">
        <v>16000</v>
      </c>
    </row>
    <row r="29" spans="2:12" s="11" customFormat="1" ht="15" customHeight="1" outlineLevel="1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</row>
    <row r="30" spans="2:12" s="11" customFormat="1" ht="15" customHeight="1" outlineLevel="1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</row>
    <row r="31" spans="2:12" s="11" customFormat="1" ht="15" customHeight="1" outlineLevel="1">
      <c r="B31" s="194" t="s">
        <v>98</v>
      </c>
      <c r="C31" s="196"/>
      <c r="D31" s="196"/>
      <c r="E31" s="196"/>
      <c r="F31" s="196"/>
      <c r="G31" s="199">
        <v>2.4E-2</v>
      </c>
      <c r="H31" s="198">
        <v>2.5000000000000001E-2</v>
      </c>
      <c r="I31" s="198">
        <v>2.3E-2</v>
      </c>
      <c r="J31" s="198">
        <v>2.1999999999999999E-2</v>
      </c>
      <c r="K31" s="198">
        <v>2.1000000000000001E-2</v>
      </c>
      <c r="L31" s="197">
        <v>0.02</v>
      </c>
    </row>
    <row r="32" spans="2:12" s="11" customFormat="1" ht="15" customHeight="1" outlineLevel="1">
      <c r="B32" s="42"/>
      <c r="C32" s="196"/>
      <c r="D32" s="196"/>
      <c r="E32" s="196"/>
      <c r="F32" s="196"/>
      <c r="G32" s="195"/>
      <c r="H32" s="195"/>
      <c r="I32" s="195"/>
      <c r="J32" s="195"/>
      <c r="K32" s="195"/>
      <c r="L32" s="195"/>
    </row>
    <row r="33" spans="1:15" s="11" customFormat="1" ht="15" customHeight="1" outlineLevel="1">
      <c r="B33" s="36"/>
      <c r="C33" s="36"/>
      <c r="D33" s="36"/>
      <c r="E33" s="36"/>
      <c r="F33" s="36"/>
      <c r="G33" s="36"/>
      <c r="H33" s="107"/>
      <c r="I33" s="107"/>
      <c r="J33" s="107"/>
      <c r="K33" s="107"/>
      <c r="L33" s="107"/>
      <c r="M33" s="107"/>
    </row>
    <row r="34" spans="1:15" s="11" customFormat="1" ht="15" customHeight="1" outlineLevel="1">
      <c r="B34" s="109"/>
      <c r="C34" s="109"/>
      <c r="D34" s="109"/>
      <c r="E34" s="109"/>
      <c r="F34" s="109"/>
      <c r="G34" s="109"/>
      <c r="H34" s="108"/>
      <c r="I34" s="108"/>
      <c r="J34" s="108"/>
      <c r="K34" s="108"/>
      <c r="L34" s="108"/>
      <c r="M34" s="107"/>
    </row>
    <row r="35" spans="1:15" s="11" customFormat="1" ht="15" customHeight="1">
      <c r="B35" s="36"/>
      <c r="C35" s="36"/>
      <c r="D35" s="36"/>
      <c r="E35" s="36"/>
      <c r="F35" s="36"/>
      <c r="G35" s="36"/>
      <c r="H35" s="107"/>
      <c r="I35" s="107"/>
      <c r="J35" s="107"/>
      <c r="K35" s="107"/>
      <c r="L35" s="107"/>
      <c r="M35" s="107"/>
    </row>
    <row r="36" spans="1:15" s="11" customFormat="1" ht="15" customHeight="1">
      <c r="A36" s="46" t="s">
        <v>0</v>
      </c>
      <c r="B36" s="57" t="s">
        <v>51</v>
      </c>
      <c r="C36" s="56"/>
      <c r="D36" s="56"/>
      <c r="E36" s="56"/>
      <c r="F36" s="55"/>
      <c r="G36" s="54"/>
      <c r="H36" s="54"/>
      <c r="I36" s="54"/>
      <c r="J36" s="54"/>
      <c r="K36" s="54"/>
      <c r="L36" s="54"/>
      <c r="M36" s="51"/>
      <c r="N36" s="27"/>
      <c r="O36" s="27"/>
    </row>
    <row r="37" spans="1:15" s="11" customFormat="1" ht="15" customHeight="1" outlineLevel="1">
      <c r="A37" s="46"/>
      <c r="B37" s="183"/>
      <c r="C37" s="53"/>
      <c r="D37" s="53"/>
      <c r="E37" s="53"/>
      <c r="F37" s="52"/>
      <c r="G37" s="51"/>
      <c r="H37" s="51"/>
      <c r="I37" s="51"/>
      <c r="J37" s="51"/>
      <c r="K37" s="51"/>
      <c r="L37" s="51"/>
      <c r="M37" s="51"/>
      <c r="N37" s="27"/>
      <c r="O37" s="27"/>
    </row>
    <row r="38" spans="1:15" s="11" customFormat="1" ht="15" customHeight="1" outlineLevel="1">
      <c r="A38" s="46"/>
      <c r="B38" s="43" t="s">
        <v>263</v>
      </c>
      <c r="C38" s="53"/>
      <c r="D38" s="53"/>
      <c r="E38" s="53"/>
      <c r="F38" s="47"/>
      <c r="G38" s="47"/>
      <c r="H38" s="47"/>
      <c r="I38" s="49"/>
      <c r="J38" s="49"/>
      <c r="K38" s="49"/>
      <c r="L38" s="49"/>
      <c r="M38" s="49"/>
      <c r="N38" s="27"/>
      <c r="O38" s="27"/>
    </row>
    <row r="39" spans="1:15" s="11" customFormat="1" ht="15" customHeight="1" outlineLevel="1">
      <c r="A39" s="46"/>
      <c r="B39" s="27"/>
      <c r="C39" s="53"/>
      <c r="D39" s="53"/>
      <c r="E39" s="53"/>
      <c r="F39" s="47"/>
      <c r="G39" s="103"/>
      <c r="H39" s="103"/>
      <c r="I39" s="102"/>
      <c r="J39" s="102"/>
      <c r="K39" s="102"/>
      <c r="L39" s="102"/>
      <c r="M39" s="102"/>
      <c r="N39" s="27"/>
      <c r="O39" s="27"/>
    </row>
    <row r="40" spans="1:15" s="46" customFormat="1" ht="15" customHeight="1" outlineLevel="1">
      <c r="B40" s="182"/>
      <c r="C40" s="181"/>
      <c r="D40" s="181"/>
      <c r="E40" s="181"/>
      <c r="F40" s="180"/>
      <c r="G40" s="179"/>
      <c r="H40" s="177" t="s">
        <v>80</v>
      </c>
      <c r="I40" s="178" t="s">
        <v>91</v>
      </c>
      <c r="J40" s="178" t="s">
        <v>91</v>
      </c>
      <c r="K40" s="177" t="s">
        <v>90</v>
      </c>
      <c r="L40" s="176" t="s">
        <v>89</v>
      </c>
      <c r="M40" s="27"/>
      <c r="N40" s="27"/>
      <c r="O40" s="27"/>
    </row>
    <row r="41" spans="1:15" s="11" customFormat="1" ht="15" customHeight="1" outlineLevel="1" thickBot="1">
      <c r="A41" s="46"/>
      <c r="B41" s="42" t="s">
        <v>88</v>
      </c>
      <c r="C41" s="42"/>
      <c r="D41" s="175" t="s">
        <v>87</v>
      </c>
      <c r="E41" s="42"/>
      <c r="F41" s="174" t="s">
        <v>86</v>
      </c>
      <c r="G41" s="174" t="s">
        <v>19</v>
      </c>
      <c r="H41" s="172" t="s">
        <v>85</v>
      </c>
      <c r="I41" s="173" t="s">
        <v>19</v>
      </c>
      <c r="J41" s="173" t="s">
        <v>84</v>
      </c>
      <c r="K41" s="172" t="s">
        <v>83</v>
      </c>
      <c r="L41" s="172" t="s">
        <v>82</v>
      </c>
      <c r="M41" s="27"/>
      <c r="N41" s="27"/>
      <c r="O41" s="27"/>
    </row>
    <row r="42" spans="1:15" s="11" customFormat="1" ht="15" customHeight="1" outlineLevel="1">
      <c r="A42" s="46"/>
      <c r="B42" s="171"/>
      <c r="C42" s="171"/>
      <c r="D42" s="171"/>
      <c r="E42" s="171"/>
      <c r="F42" s="167"/>
      <c r="G42" s="167"/>
      <c r="H42" s="170"/>
      <c r="I42" s="169"/>
      <c r="J42" s="169"/>
      <c r="K42" s="168"/>
      <c r="L42" s="167"/>
      <c r="M42" s="27"/>
      <c r="N42" s="27"/>
      <c r="O42" s="27"/>
    </row>
    <row r="43" spans="1:15" s="11" customFormat="1" ht="15" customHeight="1" outlineLevel="1">
      <c r="A43" s="46"/>
      <c r="B43" s="166" t="s">
        <v>248</v>
      </c>
      <c r="C43" s="75"/>
      <c r="D43" s="165" t="s">
        <v>81</v>
      </c>
      <c r="E43" s="165"/>
      <c r="F43" s="154">
        <v>35430</v>
      </c>
      <c r="G43" s="154">
        <v>3010000</v>
      </c>
      <c r="H43" s="164">
        <v>0.186</v>
      </c>
      <c r="I43" s="163">
        <f>F43/G43</f>
        <v>1.1770764119601328E-2</v>
      </c>
      <c r="J43" s="163">
        <f>F43/(F43+G43)</f>
        <v>1.1633825108441173E-2</v>
      </c>
      <c r="K43" s="162">
        <v>0.92</v>
      </c>
      <c r="L43" s="151">
        <f>K43/(1+(1-H43)*I43)</f>
        <v>0.91126876761350539</v>
      </c>
      <c r="M43" s="27"/>
      <c r="N43" s="27"/>
      <c r="O43" s="27"/>
    </row>
    <row r="44" spans="1:15" ht="15" customHeight="1" outlineLevel="1">
      <c r="A44" s="46"/>
      <c r="B44" s="166" t="s">
        <v>249</v>
      </c>
      <c r="C44" s="75"/>
      <c r="D44" s="165" t="s">
        <v>81</v>
      </c>
      <c r="E44" s="165"/>
      <c r="F44" s="154">
        <v>46550</v>
      </c>
      <c r="G44" s="154">
        <v>3680000</v>
      </c>
      <c r="H44" s="164">
        <v>0.159</v>
      </c>
      <c r="I44" s="163">
        <f>F44/G44</f>
        <v>1.2649456521739131E-2</v>
      </c>
      <c r="J44" s="163">
        <f>F44/(F44+G44)</f>
        <v>1.2491446512189558E-2</v>
      </c>
      <c r="K44" s="162">
        <v>1.08</v>
      </c>
      <c r="L44" s="151">
        <f>K44/(1+(1-H44)*I44)</f>
        <v>1.0686316899065516</v>
      </c>
    </row>
    <row r="45" spans="1:15" ht="15" customHeight="1" outlineLevel="1">
      <c r="A45" s="46"/>
      <c r="B45" s="166" t="s">
        <v>250</v>
      </c>
      <c r="C45" s="75"/>
      <c r="D45" s="165" t="s">
        <v>81</v>
      </c>
      <c r="E45" s="165"/>
      <c r="F45" s="154">
        <v>67200</v>
      </c>
      <c r="G45" s="154">
        <v>2300000</v>
      </c>
      <c r="H45" s="164">
        <v>0.19</v>
      </c>
      <c r="I45" s="163">
        <f>F45/G45</f>
        <v>2.9217391304347827E-2</v>
      </c>
      <c r="J45" s="163">
        <f>F45/(F45+G45)</f>
        <v>2.8387968908415006E-2</v>
      </c>
      <c r="K45" s="162">
        <v>1.1499999999999999</v>
      </c>
      <c r="L45" s="151">
        <f>K45/(1+(1-H45)*I45)</f>
        <v>1.1234132053930628</v>
      </c>
    </row>
    <row r="46" spans="1:15" ht="15" customHeight="1" outlineLevel="1">
      <c r="A46" s="46"/>
      <c r="B46" s="166" t="s">
        <v>251</v>
      </c>
      <c r="C46" s="75"/>
      <c r="D46" s="165" t="s">
        <v>81</v>
      </c>
      <c r="E46" s="165"/>
      <c r="F46" s="154">
        <v>13800</v>
      </c>
      <c r="G46" s="154">
        <v>580000</v>
      </c>
      <c r="H46" s="164">
        <v>0.254</v>
      </c>
      <c r="I46" s="163">
        <f>F46/G46</f>
        <v>2.379310344827586E-2</v>
      </c>
      <c r="J46" s="163">
        <f>F46/(F46+G46)</f>
        <v>2.3240148198046481E-2</v>
      </c>
      <c r="K46" s="162">
        <v>1.25</v>
      </c>
      <c r="L46" s="151">
        <f>K46/(1+(1-H46)*I46)</f>
        <v>1.2281998757231132</v>
      </c>
    </row>
    <row r="47" spans="1:15" ht="15" customHeight="1" outlineLevel="1">
      <c r="A47" s="46"/>
      <c r="B47" s="161" t="s">
        <v>252</v>
      </c>
      <c r="C47" s="161"/>
      <c r="D47" s="160" t="s">
        <v>81</v>
      </c>
      <c r="E47" s="160"/>
      <c r="F47" s="159">
        <v>24700</v>
      </c>
      <c r="G47" s="159">
        <v>124620</v>
      </c>
      <c r="H47" s="158">
        <v>0.23499999999999999</v>
      </c>
      <c r="I47" s="157">
        <f>F47/G47</f>
        <v>0.19820253570855401</v>
      </c>
      <c r="J47" s="157">
        <f>F47/(F47+G47)</f>
        <v>0.16541655504955799</v>
      </c>
      <c r="K47" s="156">
        <v>1.2</v>
      </c>
      <c r="L47" s="143">
        <f>K47/(1+(1-H47)*I47)</f>
        <v>1.0420059157373245</v>
      </c>
    </row>
    <row r="48" spans="1:15" ht="15" customHeight="1" outlineLevel="1">
      <c r="A48" s="46"/>
      <c r="C48" s="155"/>
      <c r="D48" s="38"/>
      <c r="E48" s="38"/>
      <c r="F48" s="154"/>
      <c r="G48" s="154"/>
      <c r="H48" s="132"/>
      <c r="I48" s="153"/>
      <c r="J48" s="153"/>
      <c r="K48" s="152"/>
      <c r="L48" s="151"/>
    </row>
    <row r="49" spans="1:15" ht="21.75" customHeight="1" outlineLevel="1">
      <c r="A49" s="46"/>
      <c r="B49" s="43"/>
      <c r="C49" s="53"/>
      <c r="D49" s="53"/>
      <c r="E49" s="53"/>
      <c r="F49" s="47"/>
      <c r="G49" s="150" t="s">
        <v>80</v>
      </c>
      <c r="H49" s="149">
        <f>AVERAGE(H43:H47)</f>
        <v>0.20480000000000001</v>
      </c>
      <c r="I49" s="148">
        <f>AVERAGE(I43:I47)</f>
        <v>5.5126650220503629E-2</v>
      </c>
      <c r="J49" s="148">
        <f>AVERAGE(J43:J47)</f>
        <v>4.823398875533004E-2</v>
      </c>
      <c r="K49" s="147">
        <f>AVERAGE(K43:K47)</f>
        <v>1.1200000000000001</v>
      </c>
      <c r="L49" s="147">
        <f>AVERAGE(L43:L47)</f>
        <v>1.0747038908747117</v>
      </c>
    </row>
    <row r="50" spans="1:15" ht="15" customHeight="1" outlineLevel="1">
      <c r="A50" s="46"/>
      <c r="B50" s="43"/>
      <c r="C50" s="53"/>
      <c r="D50" s="53"/>
      <c r="E50" s="53"/>
      <c r="F50" s="47"/>
      <c r="G50" s="146" t="s">
        <v>79</v>
      </c>
      <c r="H50" s="145">
        <f>MEDIAN(H43:H47)</f>
        <v>0.19</v>
      </c>
      <c r="I50" s="144">
        <f>MEDIAN(I43:I47)</f>
        <v>2.379310344827586E-2</v>
      </c>
      <c r="J50" s="144">
        <f>MEDIAN(J43:J47)</f>
        <v>2.3240148198046481E-2</v>
      </c>
      <c r="K50" s="143">
        <f>MEDIAN(K43:K47)</f>
        <v>1.1499999999999999</v>
      </c>
      <c r="L50" s="143">
        <f>MEDIAN(L43:L47)</f>
        <v>1.0686316899065516</v>
      </c>
    </row>
    <row r="51" spans="1:15" ht="15" customHeight="1" outlineLevel="1">
      <c r="A51" s="46"/>
      <c r="B51" s="43"/>
      <c r="C51" s="53"/>
      <c r="D51" s="53"/>
      <c r="E51" s="53"/>
      <c r="F51" s="47"/>
      <c r="G51" s="47"/>
      <c r="H51" s="116"/>
      <c r="I51" s="142"/>
      <c r="J51" s="142"/>
      <c r="K51" s="141"/>
      <c r="L51" s="141"/>
    </row>
    <row r="52" spans="1:15" ht="15" customHeight="1" outlineLevel="1">
      <c r="A52" s="46"/>
      <c r="B52" s="38"/>
      <c r="C52" s="53"/>
      <c r="D52" s="53"/>
      <c r="E52" s="53"/>
      <c r="F52" s="140"/>
      <c r="G52" s="139"/>
      <c r="H52" s="139"/>
      <c r="I52" s="138"/>
      <c r="J52" s="138"/>
      <c r="K52" s="138"/>
      <c r="L52" s="138"/>
      <c r="M52" s="138"/>
    </row>
    <row r="53" spans="1:15" ht="15" customHeight="1" outlineLevel="1">
      <c r="A53" s="46"/>
      <c r="B53" s="124" t="s">
        <v>78</v>
      </c>
      <c r="C53" s="28"/>
      <c r="D53" s="28"/>
      <c r="E53" s="28"/>
      <c r="F53" s="122"/>
      <c r="H53" s="124" t="s">
        <v>71</v>
      </c>
      <c r="I53" s="123"/>
      <c r="J53" s="28"/>
      <c r="K53" s="123"/>
      <c r="L53" s="122"/>
    </row>
    <row r="54" spans="1:15" ht="15" customHeight="1" outlineLevel="1">
      <c r="A54" s="37"/>
      <c r="B54" s="121"/>
      <c r="C54" s="121"/>
      <c r="D54" s="121"/>
      <c r="E54" s="121"/>
      <c r="F54" s="121"/>
      <c r="G54" s="37"/>
      <c r="H54" s="121"/>
      <c r="I54" s="121"/>
      <c r="J54" s="121"/>
      <c r="K54" s="121"/>
      <c r="L54" s="121"/>
      <c r="M54" s="37"/>
      <c r="N54" s="37"/>
      <c r="O54" s="37"/>
    </row>
    <row r="55" spans="1:15" ht="15" customHeight="1" outlineLevel="1">
      <c r="A55" s="37"/>
      <c r="B55" s="111" t="s">
        <v>77</v>
      </c>
      <c r="D55" s="35"/>
      <c r="E55" s="35"/>
      <c r="F55" s="132">
        <v>0.04</v>
      </c>
      <c r="G55" s="37"/>
      <c r="H55" s="111" t="s">
        <v>76</v>
      </c>
      <c r="L55" s="132">
        <v>4.2999999999999997E-2</v>
      </c>
      <c r="M55" s="37"/>
      <c r="N55" s="37"/>
      <c r="O55" s="37"/>
    </row>
    <row r="56" spans="1:15" ht="15" customHeight="1" outlineLevel="1">
      <c r="A56" s="46"/>
      <c r="B56" s="111" t="s">
        <v>75</v>
      </c>
      <c r="F56" s="137">
        <f>$L$49</f>
        <v>1.0747038908747117</v>
      </c>
      <c r="H56" s="111" t="s">
        <v>72</v>
      </c>
      <c r="J56" s="37"/>
      <c r="L56" s="116">
        <f>F58</f>
        <v>4.4077041185454108E-2</v>
      </c>
    </row>
    <row r="57" spans="1:15" ht="15" customHeight="1" outlineLevel="1">
      <c r="A57" s="46"/>
      <c r="B57" s="136" t="s">
        <v>74</v>
      </c>
      <c r="F57" s="135">
        <f>F56*(1+(1-L65)*F69)</f>
        <v>1.1019260296363527</v>
      </c>
      <c r="H57" s="111" t="s">
        <v>73</v>
      </c>
      <c r="L57" s="131">
        <v>0</v>
      </c>
    </row>
    <row r="58" spans="1:15" ht="15" customHeight="1" outlineLevel="1">
      <c r="A58" s="46"/>
      <c r="B58" s="111" t="s">
        <v>72</v>
      </c>
      <c r="F58" s="116">
        <f>F55*F57</f>
        <v>4.4077041185454108E-2</v>
      </c>
      <c r="H58" s="111" t="s">
        <v>71</v>
      </c>
      <c r="J58" s="37"/>
      <c r="L58" s="116">
        <f>SUM(L55:L57)</f>
        <v>8.7077041185454104E-2</v>
      </c>
    </row>
    <row r="59" spans="1:15" ht="15" customHeight="1" outlineLevel="1">
      <c r="A59" s="46"/>
    </row>
    <row r="60" spans="1:15" ht="15" customHeight="1" outlineLevel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spans="1:15" ht="15" customHeight="1" outlineLevel="1">
      <c r="A61" s="37"/>
      <c r="B61" s="37"/>
      <c r="C61" s="37"/>
      <c r="D61" s="37"/>
      <c r="E61" s="37"/>
      <c r="F61" s="37"/>
      <c r="G61" s="37"/>
      <c r="H61" s="37"/>
      <c r="I61" s="134"/>
      <c r="J61" s="37"/>
      <c r="K61" s="134"/>
      <c r="L61" s="134"/>
      <c r="M61" s="37"/>
      <c r="N61" s="37"/>
      <c r="O61" s="37"/>
    </row>
    <row r="62" spans="1:15" s="37" customFormat="1" ht="15" customHeight="1" outlineLevel="1">
      <c r="A62" s="46"/>
      <c r="B62" s="124" t="s">
        <v>70</v>
      </c>
      <c r="C62" s="28"/>
      <c r="D62" s="28"/>
      <c r="E62" s="133"/>
      <c r="F62" s="133"/>
      <c r="G62" s="27"/>
      <c r="H62" s="124" t="s">
        <v>69</v>
      </c>
      <c r="I62" s="28"/>
      <c r="J62" s="28"/>
      <c r="K62" s="28"/>
      <c r="L62" s="122"/>
      <c r="M62" s="27"/>
      <c r="N62" s="27"/>
      <c r="O62" s="27"/>
    </row>
    <row r="63" spans="1:15" s="37" customFormat="1" ht="15" customHeight="1" outlineLevel="1">
      <c r="A63" s="46"/>
      <c r="B63" s="27"/>
      <c r="C63" s="121"/>
      <c r="D63" s="121"/>
      <c r="E63" s="121"/>
      <c r="F63" s="121"/>
      <c r="G63" s="27"/>
      <c r="H63" s="121"/>
      <c r="I63" s="121"/>
      <c r="J63" s="121"/>
      <c r="K63" s="121"/>
      <c r="L63" s="121"/>
      <c r="M63" s="27"/>
      <c r="N63" s="27"/>
      <c r="O63" s="27"/>
    </row>
    <row r="64" spans="1:15" ht="15" customHeight="1" outlineLevel="1" thickBot="1">
      <c r="A64" s="46"/>
      <c r="B64" s="43"/>
      <c r="E64" s="120" t="s">
        <v>68</v>
      </c>
      <c r="F64" s="120" t="s">
        <v>67</v>
      </c>
      <c r="H64" s="111" t="s">
        <v>66</v>
      </c>
      <c r="I64" s="37"/>
      <c r="K64" s="37"/>
      <c r="L64" s="132">
        <v>4.8000000000000001E-2</v>
      </c>
    </row>
    <row r="65" spans="1:15" ht="15" customHeight="1" outlineLevel="1">
      <c r="A65" s="46"/>
      <c r="B65" s="111" t="s">
        <v>65</v>
      </c>
      <c r="C65" s="37"/>
      <c r="D65" s="90">
        <v>106620</v>
      </c>
      <c r="E65" s="116">
        <f>D65/$D$67</f>
        <v>3.1764096025168172E-2</v>
      </c>
      <c r="F65" s="132">
        <v>0.03</v>
      </c>
      <c r="H65" s="111" t="s">
        <v>64</v>
      </c>
      <c r="L65" s="131">
        <v>0.18099999999999999</v>
      </c>
    </row>
    <row r="66" spans="1:15" ht="15" customHeight="1" outlineLevel="1">
      <c r="A66" s="46"/>
      <c r="B66" s="111" t="s">
        <v>63</v>
      </c>
      <c r="D66" s="130">
        <v>3250000</v>
      </c>
      <c r="E66" s="129">
        <f>D66/$D$67</f>
        <v>0.96823590397483184</v>
      </c>
      <c r="F66" s="129">
        <f>1-F65</f>
        <v>0.97</v>
      </c>
      <c r="H66" s="111" t="s">
        <v>62</v>
      </c>
      <c r="L66" s="116">
        <f>L64*(1-L65)</f>
        <v>3.9312E-2</v>
      </c>
    </row>
    <row r="67" spans="1:15" ht="15" customHeight="1" outlineLevel="1">
      <c r="A67" s="46"/>
      <c r="B67" s="111" t="s">
        <v>61</v>
      </c>
      <c r="D67" s="128">
        <f>SUM(D65:D66)</f>
        <v>3356620</v>
      </c>
      <c r="E67" s="116">
        <f>SUM(E65:E66)</f>
        <v>1</v>
      </c>
      <c r="F67" s="116">
        <f>SUM(F65:F66)</f>
        <v>1</v>
      </c>
    </row>
    <row r="68" spans="1:15" s="37" customFormat="1" ht="15" customHeight="1" outlineLevel="1">
      <c r="A68" s="46"/>
      <c r="B68" s="27"/>
      <c r="C68" s="27"/>
      <c r="D68" s="27"/>
      <c r="E68" s="27"/>
      <c r="F68" s="47"/>
      <c r="G68" s="27"/>
      <c r="H68" s="27"/>
      <c r="I68" s="27"/>
      <c r="J68" s="27"/>
      <c r="K68" s="27"/>
      <c r="L68" s="27"/>
      <c r="M68" s="27"/>
      <c r="N68" s="27"/>
      <c r="O68" s="27"/>
    </row>
    <row r="69" spans="1:15" s="37" customFormat="1" ht="15" customHeight="1" outlineLevel="1">
      <c r="A69" s="46"/>
      <c r="B69" s="127" t="s">
        <v>60</v>
      </c>
      <c r="C69" s="126"/>
      <c r="D69" s="126"/>
      <c r="E69" s="125">
        <f>E65/E66</f>
        <v>3.2806153846153839E-2</v>
      </c>
      <c r="F69" s="125">
        <f>F65/F66</f>
        <v>3.0927835051546393E-2</v>
      </c>
      <c r="G69" s="27"/>
      <c r="H69" s="124" t="s">
        <v>51</v>
      </c>
      <c r="I69" s="123"/>
      <c r="J69" s="28"/>
      <c r="K69" s="122"/>
      <c r="L69" s="28"/>
      <c r="M69" s="27"/>
      <c r="N69" s="27"/>
      <c r="O69" s="27"/>
    </row>
    <row r="70" spans="1:15" ht="15" customHeight="1" outlineLevel="1">
      <c r="A70" s="37"/>
      <c r="B70" s="42"/>
      <c r="G70" s="53"/>
      <c r="H70" s="121"/>
      <c r="I70" s="121"/>
      <c r="J70" s="121"/>
      <c r="K70" s="121"/>
      <c r="L70" s="121"/>
      <c r="M70" s="37"/>
      <c r="N70" s="37"/>
      <c r="O70" s="37"/>
    </row>
    <row r="71" spans="1:15" ht="15" customHeight="1" outlineLevel="1" thickBot="1">
      <c r="A71" s="37"/>
      <c r="B71" s="38"/>
      <c r="G71" s="53"/>
      <c r="H71" s="37"/>
      <c r="I71" s="37"/>
      <c r="J71" s="37"/>
      <c r="K71" s="120" t="s">
        <v>59</v>
      </c>
      <c r="L71" s="120" t="s">
        <v>58</v>
      </c>
      <c r="M71" s="37"/>
      <c r="N71" s="37"/>
      <c r="O71" s="37"/>
    </row>
    <row r="72" spans="1:15" ht="15" customHeight="1" outlineLevel="1">
      <c r="A72" s="46"/>
      <c r="B72" s="119" t="s">
        <v>57</v>
      </c>
      <c r="C72" s="37"/>
      <c r="D72" s="117"/>
      <c r="E72" s="117"/>
      <c r="F72" s="117"/>
      <c r="H72" s="111" t="s">
        <v>56</v>
      </c>
      <c r="J72" s="37"/>
      <c r="K72" s="116">
        <f>F65</f>
        <v>0.03</v>
      </c>
      <c r="L72" s="116">
        <f>L66</f>
        <v>3.9312E-2</v>
      </c>
    </row>
    <row r="73" spans="1:15" ht="15" customHeight="1" outlineLevel="1">
      <c r="A73" s="46"/>
      <c r="B73" s="118" t="s">
        <v>55</v>
      </c>
      <c r="C73" s="37"/>
      <c r="D73" s="117"/>
      <c r="E73" s="117"/>
      <c r="F73" s="117"/>
      <c r="H73" s="111" t="s">
        <v>54</v>
      </c>
      <c r="K73" s="116">
        <f>F66</f>
        <v>0.97</v>
      </c>
      <c r="L73" s="116">
        <f>L58</f>
        <v>8.7077041185454104E-2</v>
      </c>
    </row>
    <row r="74" spans="1:15" ht="15" customHeight="1" outlineLevel="1">
      <c r="A74" s="46"/>
      <c r="B74" s="115" t="s">
        <v>53</v>
      </c>
    </row>
    <row r="75" spans="1:15" ht="15" customHeight="1" outlineLevel="1">
      <c r="B75" s="114" t="s">
        <v>52</v>
      </c>
      <c r="H75" s="37"/>
      <c r="I75" s="37"/>
      <c r="J75" s="37"/>
      <c r="K75" s="37"/>
      <c r="L75" s="113"/>
    </row>
    <row r="76" spans="1:15" ht="15" customHeight="1" outlineLevel="1" thickBot="1">
      <c r="A76" s="37"/>
      <c r="B76" s="112"/>
      <c r="C76" s="37"/>
      <c r="D76" s="37"/>
      <c r="E76" s="37"/>
      <c r="F76" s="37"/>
      <c r="G76" s="37"/>
      <c r="H76" s="111" t="s">
        <v>51</v>
      </c>
      <c r="K76" s="37"/>
      <c r="L76" s="110">
        <f>SUMPRODUCT(K72:K73,L72:L73)</f>
        <v>8.5644089949890478E-2</v>
      </c>
      <c r="M76" s="37"/>
      <c r="N76" s="37"/>
      <c r="O76" s="37"/>
    </row>
    <row r="77" spans="1:15" ht="15" customHeight="1" outlineLevel="1"/>
    <row r="78" spans="1:15" s="37" customFormat="1" ht="15" customHeight="1" outlineLevel="1">
      <c r="A78" s="11"/>
      <c r="B78" s="109"/>
      <c r="C78" s="109"/>
      <c r="D78" s="109"/>
      <c r="E78" s="109"/>
      <c r="F78" s="109"/>
      <c r="G78" s="109"/>
      <c r="H78" s="108"/>
      <c r="I78" s="108"/>
      <c r="J78" s="108"/>
      <c r="K78" s="108"/>
      <c r="L78" s="108"/>
      <c r="M78" s="107"/>
      <c r="N78" s="11"/>
      <c r="O78" s="11"/>
    </row>
    <row r="79" spans="1:15" s="37" customFormat="1" ht="1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5" customHeight="1">
      <c r="A80" s="58" t="s">
        <v>0</v>
      </c>
      <c r="B80" s="57" t="s">
        <v>39</v>
      </c>
      <c r="C80" s="56"/>
      <c r="D80" s="55"/>
      <c r="E80" s="55"/>
      <c r="F80" s="54"/>
      <c r="G80" s="54"/>
      <c r="H80" s="54"/>
      <c r="I80" s="54"/>
      <c r="J80" s="54"/>
      <c r="K80" s="54"/>
      <c r="L80" s="54"/>
      <c r="M80" s="51"/>
    </row>
    <row r="81" spans="1:26" ht="15" customHeight="1" outlineLevel="1">
      <c r="A81" s="58"/>
      <c r="B81" s="43"/>
      <c r="C81" s="106"/>
      <c r="D81" s="106"/>
      <c r="E81" s="106"/>
      <c r="F81" s="106"/>
      <c r="G81" s="65"/>
      <c r="H81" s="105"/>
      <c r="I81" s="105"/>
      <c r="J81" s="105"/>
      <c r="K81" s="105"/>
      <c r="L81" s="105"/>
      <c r="M81" s="104"/>
    </row>
    <row r="82" spans="1:26" ht="15" customHeight="1" outlineLevel="1" thickBot="1">
      <c r="A82" s="46"/>
      <c r="B82" s="43" t="s">
        <v>263</v>
      </c>
      <c r="C82" s="53"/>
      <c r="D82" s="53"/>
      <c r="E82" s="53"/>
      <c r="F82" s="47"/>
      <c r="G82" s="234">
        <f>$F$106</f>
        <v>2026</v>
      </c>
      <c r="H82" s="234">
        <f>G82+1</f>
        <v>2027</v>
      </c>
      <c r="I82" s="234">
        <f>H82+1</f>
        <v>2028</v>
      </c>
      <c r="J82" s="234">
        <f>I82+1</f>
        <v>2029</v>
      </c>
      <c r="K82" s="234">
        <f>J82+1</f>
        <v>2030</v>
      </c>
      <c r="L82" s="234" t="s">
        <v>103</v>
      </c>
      <c r="M82" s="49"/>
    </row>
    <row r="83" spans="1:26" ht="15" customHeight="1" outlineLevel="1">
      <c r="A83" s="46"/>
      <c r="C83" s="53"/>
      <c r="D83" s="53"/>
      <c r="E83" s="53"/>
      <c r="F83" s="47"/>
      <c r="G83" s="103"/>
      <c r="H83" s="103"/>
      <c r="I83" s="102"/>
      <c r="J83" s="102"/>
      <c r="K83" s="102"/>
      <c r="L83" s="102"/>
      <c r="M83" s="102"/>
    </row>
    <row r="84" spans="1:26" s="37" customFormat="1" ht="15" customHeight="1" outlineLevel="1">
      <c r="A84" s="46"/>
      <c r="B84" s="27"/>
      <c r="C84" s="53"/>
      <c r="D84" s="53"/>
      <c r="E84" s="53"/>
      <c r="F84" s="47"/>
      <c r="G84" s="103"/>
      <c r="H84" s="103"/>
      <c r="I84" s="102"/>
      <c r="J84" s="102"/>
      <c r="K84" s="102"/>
      <c r="L84" s="102"/>
      <c r="M84" s="102"/>
      <c r="N84" s="46"/>
      <c r="O84" s="27"/>
    </row>
    <row r="85" spans="1:26" ht="15" customHeight="1" outlineLevel="1">
      <c r="A85" s="46"/>
      <c r="B85" s="194" t="s">
        <v>97</v>
      </c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1"/>
    </row>
    <row r="86" spans="1:26" s="11" customFormat="1" ht="15" customHeight="1" outlineLevel="1">
      <c r="A86" s="46"/>
      <c r="B86" s="188" t="s">
        <v>96</v>
      </c>
      <c r="C86" s="62"/>
      <c r="D86" s="62"/>
      <c r="E86" s="95" t="s">
        <v>93</v>
      </c>
      <c r="F86" s="62"/>
      <c r="G86" s="193">
        <v>35</v>
      </c>
      <c r="H86" s="192">
        <v>35</v>
      </c>
      <c r="I86" s="192">
        <v>35</v>
      </c>
      <c r="J86" s="192">
        <v>35</v>
      </c>
      <c r="K86" s="192">
        <v>35</v>
      </c>
      <c r="L86" s="191">
        <f>K86</f>
        <v>35</v>
      </c>
      <c r="N86" s="27"/>
      <c r="O86" s="27"/>
    </row>
    <row r="87" spans="1:26" ht="15" customHeight="1" outlineLevel="1">
      <c r="A87" s="46"/>
      <c r="B87" s="188" t="s">
        <v>269</v>
      </c>
      <c r="C87" s="62"/>
      <c r="D87" s="62"/>
      <c r="E87" s="95" t="s">
        <v>93</v>
      </c>
      <c r="F87" s="62"/>
      <c r="G87" s="190">
        <v>30</v>
      </c>
      <c r="H87" s="154">
        <v>30</v>
      </c>
      <c r="I87" s="154">
        <v>30</v>
      </c>
      <c r="J87" s="154">
        <v>30</v>
      </c>
      <c r="K87" s="154">
        <v>30</v>
      </c>
      <c r="L87" s="189">
        <f>K87</f>
        <v>30</v>
      </c>
      <c r="M87" s="11"/>
    </row>
    <row r="88" spans="1:26" ht="15" customHeight="1" outlineLevel="1">
      <c r="A88" s="46"/>
      <c r="B88" s="188" t="s">
        <v>95</v>
      </c>
      <c r="C88" s="62"/>
      <c r="D88" s="62"/>
      <c r="E88" s="95" t="s">
        <v>93</v>
      </c>
      <c r="F88" s="62"/>
      <c r="G88" s="190">
        <v>10</v>
      </c>
      <c r="H88" s="154">
        <v>10</v>
      </c>
      <c r="I88" s="154">
        <v>10</v>
      </c>
      <c r="J88" s="154">
        <v>10</v>
      </c>
      <c r="K88" s="154">
        <v>10</v>
      </c>
      <c r="L88" s="189">
        <f t="shared" ref="L88:L89" si="0">K88</f>
        <v>10</v>
      </c>
      <c r="M88" s="11"/>
    </row>
    <row r="89" spans="1:26" ht="15" customHeight="1" outlineLevel="1">
      <c r="A89" s="46"/>
      <c r="B89" s="188" t="s">
        <v>94</v>
      </c>
      <c r="C89" s="62"/>
      <c r="D89" s="62"/>
      <c r="E89" s="95" t="s">
        <v>93</v>
      </c>
      <c r="F89" s="62"/>
      <c r="G89" s="187">
        <v>115</v>
      </c>
      <c r="H89" s="186">
        <v>115</v>
      </c>
      <c r="I89" s="186">
        <v>115</v>
      </c>
      <c r="J89" s="186">
        <v>115</v>
      </c>
      <c r="K89" s="186">
        <v>115</v>
      </c>
      <c r="L89" s="185">
        <f t="shared" si="0"/>
        <v>115</v>
      </c>
      <c r="M89" s="11"/>
    </row>
    <row r="90" spans="1:26" ht="15" customHeight="1" outlineLevel="1">
      <c r="A90" s="46"/>
      <c r="B90" s="11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1"/>
    </row>
    <row r="91" spans="1:26" ht="15" customHeight="1" outlineLevel="1">
      <c r="B91" s="184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1"/>
    </row>
    <row r="92" spans="1:26" ht="15" customHeight="1" outlineLevel="1">
      <c r="B92" s="194" t="s">
        <v>258</v>
      </c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1"/>
      <c r="P92" s="53"/>
      <c r="Q92" s="53"/>
      <c r="R92" s="53"/>
      <c r="S92" s="47"/>
      <c r="T92" s="103"/>
      <c r="U92" s="103"/>
      <c r="V92" s="102"/>
      <c r="W92" s="102"/>
      <c r="X92" s="102"/>
      <c r="Y92" s="102"/>
      <c r="Z92" s="102"/>
    </row>
    <row r="93" spans="1:26" ht="15" customHeight="1" outlineLevel="1">
      <c r="B93" s="188" t="s">
        <v>98</v>
      </c>
      <c r="C93" s="62"/>
      <c r="D93" s="62"/>
      <c r="E93" s="95"/>
      <c r="F93" s="62"/>
      <c r="G93" s="521">
        <v>2.5999999999999999E-2</v>
      </c>
      <c r="H93" s="522">
        <v>2.4E-2</v>
      </c>
      <c r="I93" s="522">
        <v>2.3E-2</v>
      </c>
      <c r="J93" s="522">
        <v>2.1999999999999999E-2</v>
      </c>
      <c r="K93" s="522">
        <v>2.1000000000000001E-2</v>
      </c>
      <c r="L93" s="523">
        <v>0.02</v>
      </c>
      <c r="M93" s="11"/>
    </row>
    <row r="94" spans="1:26" ht="15" customHeight="1" outlineLevel="1">
      <c r="B94" s="188" t="s">
        <v>259</v>
      </c>
      <c r="C94" s="62"/>
      <c r="D94" s="62"/>
      <c r="E94" s="95" t="s">
        <v>262</v>
      </c>
      <c r="F94" s="62"/>
      <c r="G94" s="190">
        <v>-2500</v>
      </c>
      <c r="H94" s="154">
        <v>-2000</v>
      </c>
      <c r="I94" s="154">
        <v>-1500</v>
      </c>
      <c r="J94" s="154">
        <v>-1000</v>
      </c>
      <c r="K94" s="154">
        <v>-500</v>
      </c>
      <c r="L94" s="202">
        <v>0</v>
      </c>
      <c r="M94" s="11"/>
    </row>
    <row r="95" spans="1:26" ht="15" customHeight="1" outlineLevel="1">
      <c r="B95" s="188" t="s">
        <v>260</v>
      </c>
      <c r="C95" s="62"/>
      <c r="D95" s="62"/>
      <c r="E95" s="95" t="s">
        <v>262</v>
      </c>
      <c r="F95" s="62"/>
      <c r="G95" s="190">
        <v>-95000</v>
      </c>
      <c r="H95" s="154">
        <v>-88000</v>
      </c>
      <c r="I95" s="154">
        <v>-82000</v>
      </c>
      <c r="J95" s="154">
        <v>-75000</v>
      </c>
      <c r="K95" s="154">
        <v>70000</v>
      </c>
      <c r="L95" s="202">
        <v>0</v>
      </c>
      <c r="M95" s="11"/>
    </row>
    <row r="96" spans="1:26" ht="15" customHeight="1" outlineLevel="1">
      <c r="B96" s="188" t="s">
        <v>261</v>
      </c>
      <c r="C96" s="62"/>
      <c r="D96" s="62"/>
      <c r="E96" s="62"/>
      <c r="F96" s="62"/>
      <c r="G96" s="524">
        <v>0.46200000000000002</v>
      </c>
      <c r="H96" s="525">
        <v>0.46500000000000002</v>
      </c>
      <c r="I96" s="525">
        <v>0.46899999999999997</v>
      </c>
      <c r="J96" s="525">
        <v>0.47199999999999998</v>
      </c>
      <c r="K96" s="525">
        <v>0.47599999999999998</v>
      </c>
      <c r="L96" s="526">
        <v>4.5999999999999999E-2</v>
      </c>
      <c r="M96" s="11"/>
    </row>
    <row r="97" spans="1:19" ht="15" customHeight="1" outlineLevel="1">
      <c r="A97" s="46"/>
      <c r="C97" s="53"/>
      <c r="D97" s="53"/>
      <c r="E97" s="53"/>
      <c r="F97" s="47"/>
      <c r="G97" s="103"/>
      <c r="H97" s="103"/>
      <c r="I97" s="102"/>
      <c r="J97" s="102"/>
      <c r="K97" s="102"/>
      <c r="L97" s="102"/>
      <c r="M97" s="102"/>
    </row>
    <row r="98" spans="1:19" ht="15" customHeight="1" outlineLevel="1">
      <c r="A98" s="46"/>
      <c r="C98" s="53"/>
      <c r="D98" s="53"/>
      <c r="E98" s="53"/>
      <c r="F98" s="47"/>
      <c r="G98" s="103"/>
      <c r="H98" s="103"/>
      <c r="I98" s="102"/>
      <c r="J98" s="102"/>
      <c r="K98" s="102"/>
      <c r="L98" s="102"/>
      <c r="M98" s="102"/>
    </row>
    <row r="99" spans="1:19" ht="15" customHeight="1" outlineLevel="1">
      <c r="A99" s="46"/>
      <c r="C99" s="53"/>
      <c r="D99" s="53"/>
      <c r="E99" s="53"/>
      <c r="F99" s="47"/>
      <c r="G99" s="103"/>
      <c r="H99" s="103"/>
      <c r="I99" s="102"/>
      <c r="J99" s="102"/>
      <c r="K99" s="102"/>
      <c r="L99" s="30" t="s">
        <v>92</v>
      </c>
      <c r="M99" s="102"/>
    </row>
    <row r="100" spans="1:19" ht="15" customHeight="1" outlineLevel="1">
      <c r="A100" s="46"/>
      <c r="C100" s="53"/>
      <c r="D100" s="53"/>
      <c r="E100" s="53"/>
      <c r="F100" s="47"/>
      <c r="G100" s="103"/>
      <c r="H100" s="103"/>
      <c r="I100" s="102"/>
      <c r="J100" s="102"/>
      <c r="K100" s="102"/>
      <c r="L100" s="30"/>
      <c r="M100" s="102"/>
      <c r="O100" s="188"/>
    </row>
    <row r="101" spans="1:19" ht="15" customHeight="1" outlineLevel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520"/>
    </row>
    <row r="102" spans="1:19" ht="15" customHeight="1" outlineLevel="1">
      <c r="A102" s="58"/>
      <c r="B102" s="87" t="s">
        <v>50</v>
      </c>
      <c r="C102" s="86"/>
      <c r="D102" s="86"/>
      <c r="E102" s="86"/>
      <c r="F102" s="86"/>
      <c r="G102" s="86"/>
      <c r="H102" s="87" t="str">
        <f>CONCATENATE("End of ",G5-1," Balances")</f>
        <v>End of 2025 Balances</v>
      </c>
      <c r="N102" s="11"/>
      <c r="O102" s="520"/>
    </row>
    <row r="103" spans="1:19" ht="15" customHeight="1" outlineLevel="1">
      <c r="A103" s="58"/>
      <c r="B103" s="101" t="s">
        <v>49</v>
      </c>
      <c r="C103" s="85"/>
      <c r="D103" s="100"/>
      <c r="E103" s="84" t="s">
        <v>45</v>
      </c>
      <c r="F103" s="99">
        <v>46121</v>
      </c>
      <c r="G103" s="86"/>
      <c r="H103" s="85" t="s">
        <v>64</v>
      </c>
      <c r="I103" s="85"/>
      <c r="J103" s="98"/>
      <c r="K103" s="33"/>
      <c r="L103" s="509">
        <v>0.158</v>
      </c>
      <c r="N103" s="11"/>
      <c r="O103" s="11"/>
    </row>
    <row r="104" spans="1:19" ht="15" customHeight="1" outlineLevel="1">
      <c r="A104" s="58"/>
      <c r="B104" s="73" t="s">
        <v>48</v>
      </c>
      <c r="C104" s="36"/>
      <c r="D104" s="75"/>
      <c r="E104" s="95" t="s">
        <v>45</v>
      </c>
      <c r="F104" s="97">
        <v>46291</v>
      </c>
      <c r="G104" s="86"/>
      <c r="H104" s="86" t="s">
        <v>34</v>
      </c>
      <c r="I104" s="36"/>
      <c r="J104" s="36"/>
      <c r="K104" s="36"/>
      <c r="L104" s="76">
        <v>0.5</v>
      </c>
      <c r="N104" s="11"/>
      <c r="O104" s="11"/>
    </row>
    <row r="105" spans="1:19" ht="15" customHeight="1" outlineLevel="1">
      <c r="A105" s="58"/>
      <c r="B105" s="36" t="s">
        <v>46</v>
      </c>
      <c r="C105" s="75"/>
      <c r="D105" s="75"/>
      <c r="E105" s="95" t="s">
        <v>45</v>
      </c>
      <c r="F105" s="97">
        <v>46291</v>
      </c>
      <c r="G105" s="86"/>
      <c r="H105" s="86" t="s">
        <v>33</v>
      </c>
      <c r="I105" s="510"/>
      <c r="J105" s="71"/>
      <c r="K105" s="511"/>
      <c r="L105" s="77">
        <v>0.15</v>
      </c>
      <c r="N105" s="11"/>
      <c r="O105" s="11"/>
    </row>
    <row r="106" spans="1:19" s="11" customFormat="1" ht="15" customHeight="1" outlineLevel="1">
      <c r="A106" s="58"/>
      <c r="B106" s="36" t="s">
        <v>43</v>
      </c>
      <c r="C106" s="36"/>
      <c r="D106" s="75"/>
      <c r="E106" s="95" t="s">
        <v>42</v>
      </c>
      <c r="F106" s="94">
        <f>YEAR(F105)</f>
        <v>2026</v>
      </c>
      <c r="G106" s="86"/>
      <c r="H106" s="86" t="s">
        <v>253</v>
      </c>
      <c r="I106" s="512"/>
      <c r="K106" s="95" t="str">
        <f>CONCATENATE("(End of ",$H$5-1,")")</f>
        <v>(End of 2026)</v>
      </c>
      <c r="L106" s="513">
        <v>114800</v>
      </c>
      <c r="M106" s="27"/>
      <c r="P106" s="517"/>
      <c r="Q106" s="36"/>
      <c r="R106" s="36"/>
      <c r="S106" s="508"/>
    </row>
    <row r="107" spans="1:19" s="11" customFormat="1" ht="15" customHeight="1" outlineLevel="1">
      <c r="A107" s="58"/>
      <c r="B107" s="73" t="s">
        <v>9</v>
      </c>
      <c r="C107" s="75"/>
      <c r="D107" s="75"/>
      <c r="E107" s="75"/>
      <c r="F107" s="92">
        <f>IF(F103&gt;F104,1,0)</f>
        <v>0</v>
      </c>
      <c r="G107" s="78"/>
      <c r="H107" s="86" t="s">
        <v>18</v>
      </c>
      <c r="I107" s="512"/>
      <c r="K107" s="95"/>
      <c r="L107" s="513">
        <v>-54286</v>
      </c>
      <c r="M107" s="27"/>
      <c r="O107" s="27"/>
      <c r="P107" s="27"/>
      <c r="Q107" s="27"/>
      <c r="R107" s="27"/>
      <c r="S107" s="508"/>
    </row>
    <row r="108" spans="1:19" s="11" customFormat="1" ht="15" customHeight="1" outlineLevel="1">
      <c r="A108" s="58"/>
      <c r="B108" s="73" t="s">
        <v>7</v>
      </c>
      <c r="C108" s="36"/>
      <c r="D108" s="36"/>
      <c r="E108" s="75"/>
      <c r="F108" s="92">
        <f>IF(F104&gt;F105,1,0)</f>
        <v>0</v>
      </c>
      <c r="G108" s="27"/>
      <c r="H108" s="86" t="s">
        <v>47</v>
      </c>
      <c r="I108" s="96"/>
      <c r="J108" s="86"/>
      <c r="K108" s="27"/>
      <c r="L108" s="80">
        <v>49834</v>
      </c>
      <c r="M108" s="27"/>
      <c r="N108" s="27"/>
      <c r="O108" s="27"/>
      <c r="P108" s="517"/>
      <c r="Q108" s="82"/>
      <c r="R108" s="36"/>
      <c r="S108" s="80"/>
    </row>
    <row r="109" spans="1:19" s="11" customFormat="1" ht="15" customHeight="1" outlineLevel="1">
      <c r="A109" s="58"/>
      <c r="B109" s="36" t="s">
        <v>40</v>
      </c>
      <c r="C109" s="91"/>
      <c r="D109" s="91"/>
      <c r="E109" s="75"/>
      <c r="F109" s="90">
        <v>365</v>
      </c>
      <c r="G109" s="27"/>
      <c r="H109" s="86" t="s">
        <v>44</v>
      </c>
      <c r="I109" s="96"/>
      <c r="J109" s="96"/>
      <c r="K109" s="27"/>
      <c r="L109" s="80">
        <v>34800</v>
      </c>
      <c r="M109" s="27"/>
      <c r="N109" s="27"/>
      <c r="O109" s="27"/>
      <c r="P109" s="517"/>
      <c r="Q109" s="36"/>
      <c r="R109" s="36"/>
      <c r="S109" s="76"/>
    </row>
    <row r="110" spans="1:19" s="11" customFormat="1" ht="15" customHeight="1" outlineLevel="1">
      <c r="A110" s="58"/>
      <c r="B110" s="36"/>
      <c r="C110" s="91"/>
      <c r="D110" s="91"/>
      <c r="E110" s="75"/>
      <c r="F110" s="90"/>
      <c r="G110" s="27"/>
      <c r="H110" s="86" t="s">
        <v>41</v>
      </c>
      <c r="I110" s="86"/>
      <c r="J110" s="86"/>
      <c r="K110" s="95" t="str">
        <f>CONCATENATE("(End of ",$H$5-1,")")</f>
        <v>(End of 2026)</v>
      </c>
      <c r="L110" s="93">
        <v>0</v>
      </c>
      <c r="M110" s="27"/>
      <c r="N110" s="27"/>
      <c r="O110" s="27"/>
      <c r="P110" s="517"/>
      <c r="Q110" s="72"/>
      <c r="R110" s="71"/>
      <c r="S110" s="77"/>
    </row>
    <row r="111" spans="1:19" s="11" customFormat="1" ht="15" customHeight="1" outlineLevel="1">
      <c r="A111" s="5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517"/>
      <c r="Q111" s="36"/>
      <c r="R111" s="36"/>
      <c r="S111" s="76"/>
    </row>
    <row r="112" spans="1:19" s="11" customFormat="1" ht="15" customHeight="1" outlineLevel="1">
      <c r="A112" s="5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517"/>
      <c r="Q112" s="36"/>
      <c r="R112" s="64"/>
      <c r="S112" s="66"/>
    </row>
    <row r="113" spans="1:19" ht="15" customHeight="1" outlineLevel="1">
      <c r="A113" s="58"/>
      <c r="B113" s="87" t="s">
        <v>38</v>
      </c>
      <c r="C113" s="86"/>
      <c r="D113" s="86"/>
      <c r="E113" s="86"/>
      <c r="F113" s="86"/>
      <c r="G113" s="78"/>
      <c r="H113" s="89" t="s">
        <v>39</v>
      </c>
      <c r="I113" s="88"/>
      <c r="J113" s="88"/>
      <c r="K113" s="88"/>
      <c r="L113" s="88"/>
      <c r="P113" s="517"/>
      <c r="Q113" s="36"/>
      <c r="R113" s="64"/>
      <c r="S113" s="66"/>
    </row>
    <row r="114" spans="1:19" ht="15" customHeight="1" outlineLevel="1">
      <c r="A114" s="58"/>
      <c r="B114" s="85" t="s">
        <v>17</v>
      </c>
      <c r="C114" s="85"/>
      <c r="D114" s="85"/>
      <c r="E114" s="84"/>
      <c r="F114" s="83">
        <v>14776</v>
      </c>
      <c r="G114" s="78"/>
      <c r="H114" s="36" t="s">
        <v>37</v>
      </c>
      <c r="I114" s="36"/>
      <c r="J114" s="36"/>
      <c r="K114" s="64" t="s">
        <v>36</v>
      </c>
      <c r="L114" s="80">
        <v>1600</v>
      </c>
    </row>
    <row r="115" spans="1:19" ht="15" customHeight="1" outlineLevel="1">
      <c r="A115" s="11"/>
      <c r="B115" s="41" t="s">
        <v>16</v>
      </c>
      <c r="C115" s="41"/>
      <c r="D115" s="41"/>
      <c r="E115" s="68" t="s">
        <v>15</v>
      </c>
      <c r="F115" s="67">
        <v>258.87</v>
      </c>
      <c r="G115" s="78"/>
      <c r="H115" s="41" t="s">
        <v>257</v>
      </c>
      <c r="I115" s="36"/>
      <c r="J115" s="36"/>
      <c r="K115" s="64"/>
      <c r="L115" s="508">
        <v>0.14499999999999999</v>
      </c>
    </row>
    <row r="116" spans="1:19" ht="15" customHeight="1" outlineLevel="1">
      <c r="A116" s="11"/>
      <c r="B116" s="36" t="s">
        <v>21</v>
      </c>
      <c r="C116" s="36"/>
      <c r="D116" s="36"/>
      <c r="E116" s="75"/>
      <c r="F116" s="79">
        <v>2.5000000000000001E-2</v>
      </c>
      <c r="G116" s="78"/>
      <c r="H116" s="41" t="s">
        <v>270</v>
      </c>
      <c r="I116" s="36"/>
      <c r="J116" s="36"/>
      <c r="K116" s="64"/>
      <c r="L116" s="508">
        <v>8.5000000000000006E-2</v>
      </c>
      <c r="M116" s="62"/>
    </row>
    <row r="117" spans="1:19" ht="15" customHeight="1" outlineLevel="1">
      <c r="A117" s="11"/>
      <c r="B117" s="36" t="s">
        <v>32</v>
      </c>
      <c r="C117" s="36"/>
      <c r="D117" s="36"/>
      <c r="E117" s="64"/>
      <c r="F117" s="63">
        <v>22</v>
      </c>
      <c r="G117" s="78"/>
      <c r="H117" s="41" t="s">
        <v>271</v>
      </c>
      <c r="I117" s="36"/>
      <c r="J117" s="36"/>
      <c r="K117" s="64"/>
      <c r="L117" s="508">
        <v>-1E-3</v>
      </c>
      <c r="M117" s="62"/>
    </row>
    <row r="118" spans="1:19" ht="15" customHeight="1" outlineLevel="1">
      <c r="A118" s="11"/>
      <c r="B118" s="36" t="s">
        <v>30</v>
      </c>
      <c r="C118" s="36"/>
      <c r="D118" s="36"/>
      <c r="E118" s="75"/>
      <c r="F118" s="74">
        <f>L76</f>
        <v>8.5644089949890478E-2</v>
      </c>
      <c r="G118" s="65"/>
      <c r="H118" s="36" t="s">
        <v>35</v>
      </c>
      <c r="I118" s="82"/>
      <c r="J118" s="36"/>
      <c r="K118" s="81"/>
      <c r="L118" s="80">
        <v>2850</v>
      </c>
      <c r="M118" s="62"/>
    </row>
    <row r="119" spans="1:19" ht="15" customHeight="1" outlineLevel="1">
      <c r="A119" s="11"/>
      <c r="B119" s="73" t="s">
        <v>28</v>
      </c>
      <c r="C119" s="72"/>
      <c r="D119" s="71"/>
      <c r="E119" s="70"/>
      <c r="F119" s="69">
        <f>IF(F116&gt;=F118,1,0)</f>
        <v>0</v>
      </c>
      <c r="G119" s="65"/>
      <c r="H119" s="36" t="s">
        <v>34</v>
      </c>
      <c r="I119" s="36"/>
      <c r="J119" s="36"/>
      <c r="K119" s="36"/>
      <c r="L119" s="76">
        <v>0.5</v>
      </c>
      <c r="M119" s="62"/>
    </row>
    <row r="120" spans="1:19" ht="15" customHeight="1" outlineLevel="1">
      <c r="A120" s="11"/>
      <c r="B120" s="41"/>
      <c r="C120" s="41"/>
      <c r="D120" s="41"/>
      <c r="E120" s="68"/>
      <c r="F120" s="67"/>
      <c r="G120" s="65"/>
      <c r="H120" s="41" t="s">
        <v>33</v>
      </c>
      <c r="I120" s="72"/>
      <c r="J120" s="71"/>
      <c r="K120" s="70"/>
      <c r="L120" s="77">
        <v>0.14299999999999999</v>
      </c>
      <c r="M120" s="62"/>
    </row>
    <row r="121" spans="1:19" ht="15" customHeight="1" outlineLevel="1">
      <c r="A121" s="11"/>
      <c r="B121" s="41"/>
      <c r="C121" s="41"/>
      <c r="D121" s="41"/>
      <c r="E121" s="68"/>
      <c r="F121" s="67"/>
      <c r="G121" s="65"/>
      <c r="H121" s="41" t="s">
        <v>341</v>
      </c>
      <c r="I121" s="72"/>
      <c r="J121" s="71"/>
      <c r="K121" s="70"/>
      <c r="L121" s="77">
        <v>2.1000000000000001E-2</v>
      </c>
      <c r="M121" s="62"/>
    </row>
    <row r="122" spans="1:19" ht="15" customHeight="1" outlineLevel="1">
      <c r="A122" s="11"/>
      <c r="B122" s="41"/>
      <c r="C122" s="41"/>
      <c r="D122" s="41"/>
      <c r="E122" s="68"/>
      <c r="F122" s="67"/>
      <c r="G122" s="65"/>
      <c r="H122" s="36"/>
      <c r="I122" s="36"/>
      <c r="J122" s="36"/>
      <c r="K122" s="36"/>
      <c r="L122" s="76"/>
      <c r="M122" s="62"/>
    </row>
    <row r="123" spans="1:19" ht="15" customHeight="1" outlineLevel="1">
      <c r="A123" s="11"/>
      <c r="B123" s="41"/>
      <c r="C123" s="41"/>
      <c r="D123" s="41"/>
      <c r="E123" s="68"/>
      <c r="F123" s="67"/>
      <c r="G123" s="65"/>
      <c r="H123" s="36"/>
      <c r="I123" s="36"/>
      <c r="J123" s="36"/>
      <c r="K123" s="36"/>
      <c r="L123" s="76"/>
      <c r="M123" s="62"/>
    </row>
    <row r="124" spans="1:19" ht="15" customHeight="1" outlineLevel="1">
      <c r="B124" s="514" t="s">
        <v>254</v>
      </c>
      <c r="C124" s="86"/>
      <c r="D124" s="86"/>
      <c r="E124" s="86"/>
      <c r="H124" s="514" t="s">
        <v>216</v>
      </c>
      <c r="I124" s="86"/>
      <c r="J124" s="86"/>
      <c r="K124" s="86"/>
    </row>
    <row r="125" spans="1:19" ht="15" customHeight="1" outlineLevel="1">
      <c r="B125" s="85" t="s">
        <v>255</v>
      </c>
      <c r="C125" s="85"/>
      <c r="D125" s="85"/>
      <c r="E125" s="84"/>
      <c r="F125" s="516">
        <v>4.2000000000000003E-2</v>
      </c>
      <c r="H125" s="515" t="s">
        <v>31</v>
      </c>
      <c r="I125" s="85"/>
      <c r="J125" s="85"/>
      <c r="K125" s="85"/>
      <c r="L125" s="518">
        <v>0.5</v>
      </c>
    </row>
    <row r="126" spans="1:19" ht="15" customHeight="1" outlineLevel="1">
      <c r="B126" s="517" t="s">
        <v>256</v>
      </c>
      <c r="C126" s="36"/>
      <c r="D126" s="36"/>
      <c r="E126" s="79"/>
      <c r="F126" s="79">
        <v>3.5000000000000003E-2</v>
      </c>
      <c r="H126" s="517" t="s">
        <v>29</v>
      </c>
      <c r="I126" s="36"/>
      <c r="J126" s="36"/>
      <c r="K126" s="64" t="s">
        <v>26</v>
      </c>
      <c r="L126" s="519">
        <v>5</v>
      </c>
    </row>
    <row r="127" spans="1:19" ht="15" customHeight="1" outlineLevel="1">
      <c r="H127" s="517" t="s">
        <v>27</v>
      </c>
      <c r="I127" s="36"/>
      <c r="J127" s="36"/>
      <c r="K127" s="64" t="s">
        <v>26</v>
      </c>
      <c r="L127" s="519">
        <v>7</v>
      </c>
    </row>
    <row r="128" spans="1:19" ht="15" customHeight="1" outlineLevel="1"/>
    <row r="129" spans="1:15" ht="15" customHeight="1" outlineLevel="1"/>
    <row r="130" spans="1:15" ht="15" customHeight="1" outlineLevel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 t="s">
        <v>25</v>
      </c>
    </row>
    <row r="131" spans="1:15" ht="15" customHeight="1" outlineLevel="1"/>
    <row r="132" spans="1:15" ht="15" customHeight="1" outlineLevel="1">
      <c r="B132" s="109"/>
      <c r="C132" s="109"/>
      <c r="D132" s="109"/>
      <c r="E132" s="109"/>
      <c r="F132" s="109"/>
      <c r="G132" s="109"/>
      <c r="H132" s="108"/>
      <c r="I132" s="108"/>
      <c r="J132" s="108"/>
      <c r="K132" s="108"/>
      <c r="L132" s="108"/>
      <c r="M132" s="107"/>
      <c r="N132" s="30"/>
      <c r="O132" s="11"/>
    </row>
    <row r="133" spans="1:15" ht="15" customHeight="1" outlineLevel="1">
      <c r="A133" s="30"/>
    </row>
    <row r="134" spans="1:15" ht="15" customHeight="1">
      <c r="N134" s="11"/>
    </row>
    <row r="135" spans="1:15" ht="15" customHeight="1">
      <c r="A135" s="11"/>
    </row>
    <row r="149" spans="13:13" ht="15" customHeight="1">
      <c r="M149" s="27" t="s">
        <v>0</v>
      </c>
    </row>
  </sheetData>
  <mergeCells count="1">
    <mergeCell ref="B1:E1"/>
  </mergeCells>
  <conditionalFormatting sqref="F107:F108 F119">
    <cfRule type="expression" dxfId="23" priority="29">
      <formula>F107=1</formula>
    </cfRule>
  </conditionalFormatting>
  <conditionalFormatting sqref="G93:L93">
    <cfRule type="containsText" dxfId="22" priority="1" operator="containsText" text="OK">
      <formula>NOT(ISERROR(SEARCH("OK",G93)))</formula>
    </cfRule>
    <cfRule type="containsText" dxfId="21" priority="2" operator="containsText" text="ERROR">
      <formula>NOT(ISERROR(SEARCH("ERROR",G93)))</formula>
    </cfRule>
  </conditionalFormatting>
  <conditionalFormatting sqref="G93:L96">
    <cfRule type="containsText" dxfId="20" priority="3" operator="containsText" text="OK">
      <formula>NOT(ISERROR(SEARCH("OK",G93)))</formula>
    </cfRule>
    <cfRule type="containsText" dxfId="19" priority="4" operator="containsText" text="ERROR">
      <formula>NOT(ISERROR(SEARCH("ERROR",G93)))</formula>
    </cfRule>
  </conditionalFormatting>
  <conditionalFormatting sqref="H125:L127">
    <cfRule type="containsText" dxfId="18" priority="17" operator="containsText" text="OK">
      <formula>NOT(ISERROR(SEARCH("OK",H125)))</formula>
    </cfRule>
    <cfRule type="containsText" dxfId="17" priority="18" operator="containsText" text="ERROR">
      <formula>NOT(ISERROR(SEARCH("ERROR",H125)))</formula>
    </cfRule>
  </conditionalFormatting>
  <conditionalFormatting sqref="I104:L107">
    <cfRule type="containsText" dxfId="16" priority="25" operator="containsText" text="OK">
      <formula>NOT(ISERROR(SEARCH("OK",I104)))</formula>
    </cfRule>
    <cfRule type="containsText" dxfId="15" priority="26" operator="containsText" text="ERROR">
      <formula>NOT(ISERROR(SEARCH("ERROR",I104)))</formula>
    </cfRule>
  </conditionalFormatting>
  <conditionalFormatting sqref="K110">
    <cfRule type="containsText" dxfId="14" priority="23" operator="containsText" text="OK">
      <formula>NOT(ISERROR(SEARCH("OK",K110)))</formula>
    </cfRule>
    <cfRule type="containsText" dxfId="13" priority="24" operator="containsText" text="ERROR">
      <formula>NOT(ISERROR(SEARCH("ERROR",K110)))</formula>
    </cfRule>
  </conditionalFormatting>
  <conditionalFormatting sqref="L115:L117 F125:F126 B126:E126">
    <cfRule type="containsText" dxfId="12" priority="21" operator="containsText" text="OK">
      <formula>NOT(ISERROR(SEARCH("OK",B115)))</formula>
    </cfRule>
    <cfRule type="containsText" dxfId="11" priority="22" operator="containsText" text="ERROR">
      <formula>NOT(ISERROR(SEARCH("ERROR",B115)))</formula>
    </cfRule>
  </conditionalFormatting>
  <conditionalFormatting sqref="P108:P113">
    <cfRule type="containsText" dxfId="10" priority="11" operator="containsText" text="OK">
      <formula>NOT(ISERROR(SEARCH("OK",P108)))</formula>
    </cfRule>
    <cfRule type="containsText" dxfId="9" priority="12" operator="containsText" text="ERROR">
      <formula>NOT(ISERROR(SEARCH("ERROR",P108)))</formula>
    </cfRule>
  </conditionalFormatting>
  <conditionalFormatting sqref="P106:S106">
    <cfRule type="containsText" dxfId="8" priority="15" operator="containsText" text="OK">
      <formula>NOT(ISERROR(SEARCH("OK",P106)))</formula>
    </cfRule>
    <cfRule type="containsText" dxfId="7" priority="16" operator="containsText" text="ERROR">
      <formula>NOT(ISERROR(SEARCH("ERROR",P106)))</formula>
    </cfRule>
  </conditionalFormatting>
  <conditionalFormatting sqref="S107">
    <cfRule type="containsText" dxfId="6" priority="13" operator="containsText" text="OK">
      <formula>NOT(ISERROR(SEARCH("OK",S107)))</formula>
    </cfRule>
    <cfRule type="containsText" dxfId="5" priority="14" operator="containsText" text="ERROR">
      <formula>NOT(ISERROR(SEARCH("ERROR",S107)))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2</xdr:col>
                    <xdr:colOff>762000</xdr:colOff>
                    <xdr:row>5</xdr:row>
                    <xdr:rowOff>161925</xdr:rowOff>
                  </from>
                  <to>
                    <xdr:col>4</xdr:col>
                    <xdr:colOff>38100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693-2F66-463C-899F-3DA57946A8A2}">
  <sheetPr>
    <pageSetUpPr autoPageBreaks="0"/>
  </sheetPr>
  <dimension ref="A1:CC563"/>
  <sheetViews>
    <sheetView showGridLines="0" tabSelected="1" zoomScaleNormal="100" zoomScaleSheetLayoutView="140" workbookViewId="0">
      <pane ySplit="1" topLeftCell="A2" activePane="bottomLeft" state="frozen"/>
      <selection activeCell="A3" sqref="A3"/>
      <selection pane="bottomLeft" activeCell="F14" sqref="F14"/>
    </sheetView>
  </sheetViews>
  <sheetFormatPr defaultColWidth="9.140625" defaultRowHeight="15" customHeight="1" outlineLevelRow="1"/>
  <cols>
    <col min="1" max="1" width="9.140625" style="27"/>
    <col min="2" max="2" width="17.7109375" style="27" customWidth="1"/>
    <col min="3" max="3" width="11.28515625" style="27" customWidth="1"/>
    <col min="4" max="4" width="15.7109375" style="27" customWidth="1"/>
    <col min="5" max="5" width="1.7109375" style="27" customWidth="1"/>
    <col min="6" max="14" width="12.28515625" style="27" bestFit="1" customWidth="1"/>
    <col min="15" max="15" width="1.7109375" style="27" customWidth="1"/>
    <col min="16" max="16" width="9.140625" style="27"/>
    <col min="17" max="17" width="10.7109375" style="27" bestFit="1" customWidth="1"/>
    <col min="18" max="16384" width="9.140625" style="27"/>
  </cols>
  <sheetData>
    <row r="1" spans="1:81" ht="50.1" customHeight="1">
      <c r="A1" s="37"/>
      <c r="B1" s="577" t="s">
        <v>362</v>
      </c>
      <c r="C1" s="577"/>
      <c r="D1" s="577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81" ht="15" customHeight="1">
      <c r="A2" s="58"/>
      <c r="B2" s="506"/>
      <c r="C2" s="505"/>
      <c r="D2" s="504"/>
      <c r="E2" s="504"/>
      <c r="F2" s="503"/>
      <c r="G2" s="503"/>
      <c r="H2" s="503"/>
      <c r="I2" s="503"/>
      <c r="J2" s="503"/>
      <c r="K2" s="503"/>
      <c r="L2" s="503"/>
      <c r="M2" s="503"/>
      <c r="N2" s="503"/>
      <c r="O2" s="34"/>
    </row>
    <row r="3" spans="1:81" ht="15" customHeight="1">
      <c r="A3" s="37" t="s">
        <v>0</v>
      </c>
      <c r="B3" s="57" t="s">
        <v>221</v>
      </c>
      <c r="C3" s="56"/>
      <c r="D3" s="55"/>
      <c r="E3" s="55"/>
      <c r="F3" s="54"/>
      <c r="G3" s="54"/>
      <c r="H3" s="54"/>
      <c r="I3" s="54"/>
      <c r="J3" s="54"/>
      <c r="K3" s="54"/>
      <c r="L3" s="54"/>
      <c r="M3" s="54"/>
      <c r="N3" s="302"/>
      <c r="O3" s="46"/>
      <c r="P3" s="46"/>
      <c r="Q3" s="46"/>
      <c r="R3" s="46"/>
      <c r="AJ3" s="37"/>
    </row>
    <row r="4" spans="1:81" ht="15" customHeight="1" outlineLevel="1">
      <c r="A4" s="46"/>
      <c r="B4" s="183"/>
      <c r="C4" s="53"/>
      <c r="D4" s="52"/>
      <c r="E4" s="52"/>
      <c r="F4" s="51"/>
      <c r="G4" s="51"/>
      <c r="H4" s="51"/>
      <c r="I4" s="51"/>
      <c r="J4" s="51"/>
      <c r="K4" s="51"/>
      <c r="L4" s="51"/>
      <c r="M4" s="51"/>
      <c r="N4" s="51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</row>
    <row r="5" spans="1:81" ht="15" customHeight="1" outlineLevel="1" thickBot="1">
      <c r="A5" s="46"/>
      <c r="B5" s="43" t="s">
        <v>263</v>
      </c>
      <c r="C5" s="53"/>
      <c r="D5" s="47"/>
      <c r="E5" s="47"/>
      <c r="F5" s="354">
        <f t="shared" ref="F5:N5" si="0">F$141</f>
        <v>2023</v>
      </c>
      <c r="G5" s="354">
        <f t="shared" si="0"/>
        <v>2024</v>
      </c>
      <c r="H5" s="354">
        <f t="shared" si="0"/>
        <v>2025</v>
      </c>
      <c r="I5" s="234">
        <f t="shared" si="0"/>
        <v>2026</v>
      </c>
      <c r="J5" s="234">
        <f t="shared" si="0"/>
        <v>2027</v>
      </c>
      <c r="K5" s="234">
        <f t="shared" si="0"/>
        <v>2028</v>
      </c>
      <c r="L5" s="234">
        <f t="shared" si="0"/>
        <v>2029</v>
      </c>
      <c r="M5" s="234">
        <f t="shared" si="0"/>
        <v>2030</v>
      </c>
      <c r="N5" s="234" t="str">
        <f t="shared" si="0"/>
        <v>Term</v>
      </c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</row>
    <row r="6" spans="1:81" ht="15" customHeight="1" outlineLevel="1">
      <c r="A6" s="37"/>
      <c r="B6" s="43" t="str">
        <f>$B$142</f>
        <v>Model Running: Base Case Drivers</v>
      </c>
      <c r="C6" s="53"/>
      <c r="D6" s="47"/>
      <c r="E6" s="47"/>
      <c r="F6" s="47"/>
      <c r="G6" s="47"/>
      <c r="H6" s="47"/>
      <c r="I6" s="49"/>
      <c r="J6" s="49"/>
      <c r="K6" s="49"/>
      <c r="L6" s="49"/>
      <c r="M6" s="49"/>
      <c r="N6" s="49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</row>
    <row r="7" spans="1:81" ht="15" customHeight="1" outlineLevel="1">
      <c r="A7" s="46"/>
      <c r="B7" s="43"/>
      <c r="C7" s="53"/>
      <c r="D7" s="47"/>
      <c r="E7" s="47"/>
      <c r="F7" s="47"/>
      <c r="G7" s="47"/>
      <c r="H7" s="47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</row>
    <row r="8" spans="1:81" s="37" customFormat="1" ht="15" customHeight="1" outlineLevel="1">
      <c r="B8" s="38" t="s">
        <v>220</v>
      </c>
      <c r="C8" s="53"/>
      <c r="D8" s="47"/>
      <c r="E8" s="47"/>
      <c r="F8" s="462">
        <f t="shared" ref="F8:N8" si="1">F189</f>
        <v>3.4000000000000002E-2</v>
      </c>
      <c r="G8" s="461">
        <f t="shared" si="1"/>
        <v>2.4E-2</v>
      </c>
      <c r="H8" s="461">
        <f t="shared" si="1"/>
        <v>2.3E-2</v>
      </c>
      <c r="I8" s="461">
        <f t="shared" si="1"/>
        <v>2.4E-2</v>
      </c>
      <c r="J8" s="461">
        <f t="shared" si="1"/>
        <v>2.5000000000000001E-2</v>
      </c>
      <c r="K8" s="461">
        <f t="shared" si="1"/>
        <v>2.3E-2</v>
      </c>
      <c r="L8" s="461">
        <f t="shared" si="1"/>
        <v>2.1999999999999999E-2</v>
      </c>
      <c r="M8" s="461">
        <f t="shared" si="1"/>
        <v>2.1000000000000001E-2</v>
      </c>
      <c r="N8" s="460">
        <f t="shared" si="1"/>
        <v>0.02</v>
      </c>
      <c r="O8" s="27"/>
      <c r="P8" s="27"/>
      <c r="Q8" s="27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</row>
    <row r="9" spans="1:81" ht="15" customHeight="1" outlineLevel="1">
      <c r="A9" s="37"/>
      <c r="B9" s="38"/>
      <c r="C9" s="53"/>
      <c r="D9" s="47"/>
      <c r="E9" s="47"/>
      <c r="F9" s="459"/>
      <c r="G9" s="459"/>
      <c r="H9" s="459"/>
      <c r="I9" s="459"/>
      <c r="J9" s="459"/>
      <c r="K9" s="459"/>
      <c r="L9" s="459"/>
      <c r="M9" s="459"/>
      <c r="N9" s="459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</row>
    <row r="10" spans="1:81" ht="15" customHeight="1" outlineLevel="1">
      <c r="A10" s="46"/>
      <c r="B10" s="458"/>
      <c r="C10" s="457"/>
      <c r="D10" s="47"/>
      <c r="E10" s="47"/>
      <c r="F10" s="47"/>
      <c r="G10" s="47"/>
      <c r="H10" s="47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</row>
    <row r="11" spans="1:81" ht="15" customHeight="1" outlineLevel="1">
      <c r="A11" s="46"/>
      <c r="B11" s="332" t="s">
        <v>64</v>
      </c>
      <c r="C11" s="456">
        <f>Inputs!$L$65</f>
        <v>0.18099999999999999</v>
      </c>
      <c r="D11" s="46"/>
      <c r="E11" s="47"/>
      <c r="F11" s="47"/>
      <c r="G11" s="47"/>
      <c r="H11" s="47"/>
      <c r="I11" s="49"/>
      <c r="J11" s="49"/>
      <c r="K11" s="49"/>
      <c r="L11" s="49"/>
      <c r="M11" s="49"/>
      <c r="N11" s="46"/>
      <c r="O11" s="34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</row>
    <row r="12" spans="1:81" s="37" customFormat="1" ht="15" customHeight="1" outlineLevel="1">
      <c r="A12" s="46"/>
      <c r="B12" s="36"/>
      <c r="C12" s="53"/>
      <c r="D12" s="47"/>
      <c r="E12" s="47"/>
      <c r="F12" s="47"/>
      <c r="G12" s="47"/>
      <c r="H12" s="47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</row>
    <row r="13" spans="1:81" s="37" customFormat="1" ht="15" customHeight="1" outlineLevel="1">
      <c r="B13" s="111" t="s">
        <v>211</v>
      </c>
      <c r="C13" s="112"/>
      <c r="D13" s="47"/>
      <c r="E13" s="112"/>
      <c r="F13" s="265">
        <v>383285</v>
      </c>
      <c r="G13" s="265">
        <v>391035</v>
      </c>
      <c r="H13" s="265">
        <v>416161</v>
      </c>
      <c r="I13" s="336">
        <f>I176</f>
        <v>444907.41149201797</v>
      </c>
      <c r="J13" s="336">
        <f t="shared" ref="J13:N13" si="2">J176</f>
        <v>466031.61538965901</v>
      </c>
      <c r="K13" s="336">
        <f t="shared" si="2"/>
        <v>481063.46514405234</v>
      </c>
      <c r="L13" s="336">
        <f t="shared" si="2"/>
        <v>493648.0853922207</v>
      </c>
      <c r="M13" s="336">
        <f t="shared" si="2"/>
        <v>506561.91930608125</v>
      </c>
      <c r="N13" s="455">
        <f t="shared" si="2"/>
        <v>519301.95157662925</v>
      </c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</row>
    <row r="14" spans="1:81" ht="15" customHeight="1" outlineLevel="1">
      <c r="A14" s="37"/>
      <c r="B14" s="111" t="s">
        <v>210</v>
      </c>
      <c r="C14" s="112"/>
      <c r="D14" s="112"/>
      <c r="E14" s="112"/>
      <c r="F14" s="271">
        <v>-214137</v>
      </c>
      <c r="G14" s="271">
        <v>-210352</v>
      </c>
      <c r="H14" s="271">
        <v>-220960</v>
      </c>
      <c r="I14" s="447">
        <f>I225*-1</f>
        <v>-235287.99472053655</v>
      </c>
      <c r="J14" s="447">
        <f t="shared" ref="J14:L14" si="3">J225*-1</f>
        <v>-248350.17844098355</v>
      </c>
      <c r="K14" s="447">
        <f t="shared" si="3"/>
        <v>-258089.19649360608</v>
      </c>
      <c r="L14" s="447">
        <f t="shared" si="3"/>
        <v>-267706.4732889242</v>
      </c>
      <c r="M14" s="447">
        <f>M225*-1</f>
        <v>-277414.70194559399</v>
      </c>
      <c r="N14" s="451">
        <f>N225*-1</f>
        <v>-285609.75254769699</v>
      </c>
      <c r="O14" s="37"/>
      <c r="P14" s="37"/>
      <c r="Q14" s="3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81" ht="15" customHeight="1" outlineLevel="1">
      <c r="A15" s="37"/>
      <c r="B15" s="194" t="s">
        <v>219</v>
      </c>
      <c r="C15" s="357"/>
      <c r="D15" s="112"/>
      <c r="E15" s="112"/>
      <c r="F15" s="335">
        <f>SUM(F13:F14)</f>
        <v>169148</v>
      </c>
      <c r="G15" s="335">
        <f t="shared" ref="G15:M15" si="4">SUM(G13:G14)</f>
        <v>180683</v>
      </c>
      <c r="H15" s="335">
        <f t="shared" si="4"/>
        <v>195201</v>
      </c>
      <c r="I15" s="335">
        <f>SUM(I13:I14)</f>
        <v>209619.41677148142</v>
      </c>
      <c r="J15" s="335">
        <f t="shared" si="4"/>
        <v>217681.43694867546</v>
      </c>
      <c r="K15" s="335">
        <f t="shared" si="4"/>
        <v>222974.26865044626</v>
      </c>
      <c r="L15" s="335">
        <f t="shared" si="4"/>
        <v>225941.6121032965</v>
      </c>
      <c r="M15" s="335">
        <f t="shared" si="4"/>
        <v>229147.21736048727</v>
      </c>
      <c r="N15" s="448">
        <f>SUM(N13:N14)</f>
        <v>233692.19902893226</v>
      </c>
      <c r="O15" s="37"/>
      <c r="P15" s="37"/>
      <c r="Q15" s="37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81" ht="15" customHeight="1" outlineLevel="1">
      <c r="A16" s="37"/>
      <c r="B16" s="194"/>
      <c r="C16" s="357"/>
      <c r="D16" s="112"/>
      <c r="E16" s="112"/>
      <c r="F16" s="450"/>
      <c r="G16" s="450"/>
      <c r="H16" s="450"/>
      <c r="I16" s="335"/>
      <c r="J16" s="335"/>
      <c r="K16" s="335"/>
      <c r="L16" s="335"/>
      <c r="M16" s="335"/>
      <c r="N16" s="448"/>
      <c r="O16" s="37"/>
      <c r="P16" s="37"/>
      <c r="Q16" s="37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</row>
    <row r="17" spans="1:81" s="37" customFormat="1" ht="15" customHeight="1" outlineLevel="1">
      <c r="B17" s="111"/>
      <c r="C17" s="112"/>
      <c r="D17" s="112"/>
      <c r="E17" s="112"/>
      <c r="F17" s="454"/>
      <c r="G17" s="454"/>
      <c r="H17" s="454"/>
      <c r="I17" s="336"/>
      <c r="J17" s="450"/>
      <c r="K17" s="450"/>
      <c r="L17" s="450"/>
      <c r="M17" s="453"/>
      <c r="N17" s="452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</row>
    <row r="18" spans="1:81" s="37" customFormat="1" ht="15" customHeight="1" outlineLevel="1">
      <c r="B18" s="111" t="s">
        <v>218</v>
      </c>
      <c r="C18" s="112"/>
      <c r="D18" s="265"/>
      <c r="E18" s="112"/>
      <c r="F18" s="265">
        <v>-24932</v>
      </c>
      <c r="G18" s="265">
        <v>-26097</v>
      </c>
      <c r="H18" s="265">
        <v>-27601</v>
      </c>
      <c r="I18" s="336">
        <f>H18*(1+I$8)</f>
        <v>-28263.423999999999</v>
      </c>
      <c r="J18" s="336">
        <f t="shared" ref="J18:N18" si="5">I18*(1+J$8)</f>
        <v>-28970.009599999998</v>
      </c>
      <c r="K18" s="336">
        <f t="shared" si="5"/>
        <v>-29636.319820799996</v>
      </c>
      <c r="L18" s="336">
        <f t="shared" si="5"/>
        <v>-30288.318856857597</v>
      </c>
      <c r="M18" s="336">
        <f t="shared" si="5"/>
        <v>-30924.373552851604</v>
      </c>
      <c r="N18" s="443">
        <f t="shared" si="5"/>
        <v>-31542.861023908637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</row>
    <row r="19" spans="1:81" ht="15" customHeight="1" outlineLevel="1">
      <c r="A19" s="37"/>
      <c r="B19" s="111" t="s">
        <v>264</v>
      </c>
      <c r="C19" s="112"/>
      <c r="D19" s="265"/>
      <c r="E19" s="112"/>
      <c r="F19" s="265">
        <v>-29915</v>
      </c>
      <c r="G19" s="265">
        <v>-31370</v>
      </c>
      <c r="H19" s="265">
        <v>-34550</v>
      </c>
      <c r="I19" s="336">
        <f>-I13*Inputs!$L$116</f>
        <v>-37817.129976821532</v>
      </c>
      <c r="J19" s="336">
        <f>-J13*Inputs!$L$116</f>
        <v>-39612.687308121021</v>
      </c>
      <c r="K19" s="336">
        <f>-K13*Inputs!$L$116</f>
        <v>-40890.39453724445</v>
      </c>
      <c r="L19" s="336">
        <f>-L13*Inputs!$L$116</f>
        <v>-41960.087258338761</v>
      </c>
      <c r="M19" s="336">
        <f>-M13*Inputs!$L$116</f>
        <v>-43057.763141016912</v>
      </c>
      <c r="N19" s="443">
        <f>-N13*Inputs!$L$116</f>
        <v>-44140.665884013491</v>
      </c>
      <c r="O19" s="37"/>
      <c r="P19" s="37"/>
      <c r="Q19" s="37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</row>
    <row r="20" spans="1:81" ht="15" customHeight="1" outlineLevel="1">
      <c r="A20" s="37"/>
      <c r="B20" s="111" t="s">
        <v>217</v>
      </c>
      <c r="C20" s="112"/>
      <c r="D20" s="112"/>
      <c r="E20" s="112"/>
      <c r="F20" s="265">
        <v>0</v>
      </c>
      <c r="G20" s="265">
        <v>0</v>
      </c>
      <c r="H20" s="265">
        <v>0</v>
      </c>
      <c r="I20" s="336">
        <f>-I13*Inputs!$L$117</f>
        <v>444.90741149201796</v>
      </c>
      <c r="J20" s="336">
        <f>-J13*Inputs!$L$117</f>
        <v>466.03161538965901</v>
      </c>
      <c r="K20" s="336">
        <f>-K13*Inputs!$L$117</f>
        <v>481.06346514405237</v>
      </c>
      <c r="L20" s="336">
        <f>-L13*Inputs!$L$117</f>
        <v>493.64808539222071</v>
      </c>
      <c r="M20" s="336">
        <f>-M13*Inputs!$L$117</f>
        <v>506.56191930608128</v>
      </c>
      <c r="N20" s="443">
        <f>-N13*Inputs!$L$117</f>
        <v>519.30195157662922</v>
      </c>
      <c r="O20" s="37"/>
      <c r="P20" s="37"/>
      <c r="Q20" s="37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</row>
    <row r="21" spans="1:81" ht="15" customHeight="1" outlineLevel="1">
      <c r="A21" s="37"/>
      <c r="B21" s="111"/>
      <c r="C21" s="112"/>
      <c r="D21" s="112"/>
      <c r="E21" s="112"/>
      <c r="F21" s="335"/>
      <c r="G21" s="335"/>
      <c r="H21" s="335"/>
      <c r="I21" s="335"/>
      <c r="J21" s="335"/>
      <c r="K21" s="335"/>
      <c r="L21" s="335"/>
      <c r="M21" s="335"/>
      <c r="N21" s="448"/>
      <c r="O21" s="37"/>
      <c r="P21" s="37"/>
      <c r="Q21" s="37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</row>
    <row r="22" spans="1:81" ht="15" customHeight="1" outlineLevel="1">
      <c r="A22" s="37"/>
      <c r="B22" s="111" t="s">
        <v>216</v>
      </c>
      <c r="C22" s="112"/>
      <c r="D22" s="112"/>
      <c r="E22" s="112"/>
      <c r="F22" s="271">
        <v>-11519</v>
      </c>
      <c r="G22" s="271">
        <v>-11445</v>
      </c>
      <c r="H22" s="271">
        <v>-11698</v>
      </c>
      <c r="I22" s="447">
        <f>-I319</f>
        <v>-11002.514285714286</v>
      </c>
      <c r="J22" s="447">
        <f>-J319</f>
        <v>-13123.942857142856</v>
      </c>
      <c r="K22" s="447">
        <f>-K319</f>
        <v>-15338.228571428572</v>
      </c>
      <c r="L22" s="447">
        <f>-L319</f>
        <v>-17645.371428571427</v>
      </c>
      <c r="M22" s="447">
        <f>-M319</f>
        <v>-20052.514285714286</v>
      </c>
      <c r="N22" s="449">
        <f>-Inputs!L24</f>
        <v>-18500</v>
      </c>
      <c r="O22" s="37"/>
      <c r="P22" s="37"/>
      <c r="Q22" s="37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</row>
    <row r="23" spans="1:81" s="37" customFormat="1" ht="15" customHeight="1" outlineLevel="1">
      <c r="B23" s="194" t="s">
        <v>151</v>
      </c>
      <c r="C23" s="357"/>
      <c r="D23" s="112"/>
      <c r="E23" s="112"/>
      <c r="F23" s="335">
        <f>SUM(F15:F20)</f>
        <v>114301</v>
      </c>
      <c r="G23" s="335">
        <f t="shared" ref="G23" si="6">SUM(G15:G20)</f>
        <v>123216</v>
      </c>
      <c r="H23" s="335">
        <f>SUM(H15:H20)</f>
        <v>133050</v>
      </c>
      <c r="I23" s="335">
        <f>SUM(I15:I20)</f>
        <v>143983.77020615191</v>
      </c>
      <c r="J23" s="335">
        <f t="shared" ref="J23:M23" si="7">SUM(J15:J20)</f>
        <v>149564.77165594409</v>
      </c>
      <c r="K23" s="335">
        <f t="shared" si="7"/>
        <v>152928.61775754587</v>
      </c>
      <c r="L23" s="335">
        <f t="shared" si="7"/>
        <v>154186.85407349237</v>
      </c>
      <c r="M23" s="335">
        <f t="shared" si="7"/>
        <v>155671.64258592483</v>
      </c>
      <c r="N23" s="448">
        <f>SUM(N15:N20)</f>
        <v>158527.97407258677</v>
      </c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</row>
    <row r="24" spans="1:81" s="37" customFormat="1" ht="15" customHeight="1" outlineLevel="1">
      <c r="B24" s="194"/>
      <c r="C24" s="357"/>
      <c r="D24" s="112"/>
      <c r="E24" s="112"/>
      <c r="F24" s="335"/>
      <c r="G24" s="335"/>
      <c r="H24" s="335"/>
      <c r="I24" s="335"/>
      <c r="J24" s="335"/>
      <c r="K24" s="335"/>
      <c r="L24" s="335"/>
      <c r="M24" s="335"/>
      <c r="N24" s="448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</row>
    <row r="25" spans="1:81" ht="15" customHeight="1" outlineLevel="1">
      <c r="A25" s="37"/>
      <c r="B25" s="194"/>
      <c r="C25" s="357"/>
      <c r="D25" s="112"/>
      <c r="E25" s="112"/>
      <c r="F25" s="335"/>
      <c r="G25" s="335"/>
      <c r="H25" s="335"/>
      <c r="I25" s="335"/>
      <c r="J25" s="335"/>
      <c r="K25" s="335"/>
      <c r="L25" s="335"/>
      <c r="M25" s="335"/>
      <c r="N25" s="448"/>
      <c r="O25" s="37"/>
      <c r="P25" s="37"/>
      <c r="Q25" s="37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</row>
    <row r="26" spans="1:81" ht="15" customHeight="1" outlineLevel="1">
      <c r="A26" s="37"/>
      <c r="B26" s="111" t="s">
        <v>265</v>
      </c>
      <c r="C26" s="357"/>
      <c r="D26" s="112"/>
      <c r="E26" s="112"/>
      <c r="F26" s="265">
        <v>3750</v>
      </c>
      <c r="G26" s="265">
        <v>3921</v>
      </c>
      <c r="H26" s="265">
        <v>3744</v>
      </c>
      <c r="I26" s="336">
        <f ca="1">I454</f>
        <v>1518.6988975415886</v>
      </c>
      <c r="J26" s="336">
        <f t="shared" ref="J26:M26" ca="1" si="8">J454</f>
        <v>1867.45038552403</v>
      </c>
      <c r="K26" s="336">
        <f t="shared" ca="1" si="8"/>
        <v>2560.0992912719612</v>
      </c>
      <c r="L26" s="336">
        <f t="shared" ca="1" si="8"/>
        <v>3412.5179571787671</v>
      </c>
      <c r="M26" s="336">
        <f t="shared" ca="1" si="8"/>
        <v>4484.6857974684053</v>
      </c>
      <c r="N26" s="448">
        <f ca="1">M26*(1+Inputs!$F$116)</f>
        <v>4596.8029424051147</v>
      </c>
      <c r="O26" s="37"/>
      <c r="P26" s="37"/>
      <c r="Q26" s="37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</row>
    <row r="27" spans="1:81" ht="15" customHeight="1" outlineLevel="1">
      <c r="A27" s="37"/>
      <c r="B27" s="111" t="s">
        <v>141</v>
      </c>
      <c r="C27" s="357"/>
      <c r="D27" s="112"/>
      <c r="E27" s="112"/>
      <c r="F27" s="265">
        <v>-3933</v>
      </c>
      <c r="G27" s="265">
        <v>-3803</v>
      </c>
      <c r="H27" s="265">
        <v>-3767</v>
      </c>
      <c r="I27" s="336">
        <f>-I500</f>
        <v>-3421.8339999999998</v>
      </c>
      <c r="J27" s="336">
        <f t="shared" ref="J27:M27" si="9">-J500</f>
        <v>-3020.384</v>
      </c>
      <c r="K27" s="336">
        <f t="shared" si="9"/>
        <v>-2653.1589999999997</v>
      </c>
      <c r="L27" s="336">
        <f t="shared" si="9"/>
        <v>-2250.7840000000001</v>
      </c>
      <c r="M27" s="336">
        <f t="shared" si="9"/>
        <v>-1885.4089999999999</v>
      </c>
      <c r="N27" s="448">
        <f>M27*(1+Inputs!$F$116)</f>
        <v>-1932.5442249999996</v>
      </c>
      <c r="O27" s="37"/>
      <c r="P27" s="37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</row>
    <row r="28" spans="1:81" ht="15" customHeight="1" outlineLevel="1">
      <c r="A28" s="37"/>
      <c r="B28" s="111" t="s">
        <v>266</v>
      </c>
      <c r="C28" s="112"/>
      <c r="D28" s="112"/>
      <c r="E28" s="112"/>
      <c r="F28" s="271">
        <v>-382</v>
      </c>
      <c r="G28" s="271">
        <v>151</v>
      </c>
      <c r="H28" s="271">
        <v>-298</v>
      </c>
      <c r="I28" s="447">
        <v>-200</v>
      </c>
      <c r="J28" s="447">
        <v>-200</v>
      </c>
      <c r="K28" s="447">
        <v>-200</v>
      </c>
      <c r="L28" s="447">
        <v>-200</v>
      </c>
      <c r="M28" s="447">
        <v>-200</v>
      </c>
      <c r="N28" s="449">
        <v>0</v>
      </c>
      <c r="O28" s="37"/>
      <c r="P28" s="37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</row>
    <row r="29" spans="1:81" ht="15" customHeight="1" outlineLevel="1">
      <c r="A29" s="37"/>
      <c r="B29" s="194" t="s">
        <v>149</v>
      </c>
      <c r="C29" s="357"/>
      <c r="D29" s="112"/>
      <c r="E29" s="112"/>
      <c r="F29" s="335">
        <f>SUM(F23:F28)</f>
        <v>113736</v>
      </c>
      <c r="G29" s="335">
        <f t="shared" ref="G29" si="10">SUM(G23:G28)</f>
        <v>123485</v>
      </c>
      <c r="H29" s="335">
        <f>SUM(H23:H28)</f>
        <v>132729</v>
      </c>
      <c r="I29" s="335">
        <f ca="1">SUM(I23:I28)</f>
        <v>141880.63510369349</v>
      </c>
      <c r="J29" s="335">
        <f t="shared" ref="J29:L29" ca="1" si="11">SUM(J23:J28)</f>
        <v>148211.83804146812</v>
      </c>
      <c r="K29" s="335">
        <f t="shared" ca="1" si="11"/>
        <v>152635.55804881785</v>
      </c>
      <c r="L29" s="335">
        <f t="shared" ca="1" si="11"/>
        <v>155148.58803067112</v>
      </c>
      <c r="M29" s="335">
        <f ca="1">SUM(M23:M28)</f>
        <v>158070.91938339322</v>
      </c>
      <c r="N29" s="448">
        <f ca="1">SUM(N23:N28)</f>
        <v>161192.23278999189</v>
      </c>
      <c r="O29" s="37"/>
      <c r="P29" s="37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</row>
    <row r="30" spans="1:81" s="37" customFormat="1" ht="15" customHeight="1" outlineLevel="1">
      <c r="B30" s="194"/>
      <c r="C30" s="357"/>
      <c r="D30" s="112"/>
      <c r="E30" s="112"/>
      <c r="F30" s="335"/>
      <c r="G30" s="335"/>
      <c r="H30" s="335"/>
      <c r="I30" s="335"/>
      <c r="J30" s="335"/>
      <c r="K30" s="335"/>
      <c r="L30" s="335"/>
      <c r="M30" s="335"/>
      <c r="N30" s="448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81" s="37" customFormat="1" ht="15" customHeight="1" outlineLevel="1">
      <c r="B31" s="111" t="s">
        <v>215</v>
      </c>
      <c r="C31" s="112"/>
      <c r="D31" s="112"/>
      <c r="E31" s="112"/>
      <c r="F31" s="265">
        <v>-17589</v>
      </c>
      <c r="G31" s="265">
        <v>-32864</v>
      </c>
      <c r="H31" s="265">
        <v>-18252</v>
      </c>
      <c r="I31" s="336">
        <f ca="1">-I389</f>
        <v>-25282.103936625666</v>
      </c>
      <c r="J31" s="336">
        <f t="shared" ref="J31:L31" ca="1" si="12">-J389</f>
        <v>-26351.255954077158</v>
      </c>
      <c r="K31" s="336">
        <f t="shared" ca="1" si="12"/>
        <v>-27071.792132550316</v>
      </c>
      <c r="L31" s="336">
        <f t="shared" ca="1" si="12"/>
        <v>-27443.131987837187</v>
      </c>
      <c r="M31" s="336">
        <f ca="1">-M389</f>
        <v>-27884.935391251314</v>
      </c>
      <c r="N31" s="443">
        <f ca="1">-C11*N29</f>
        <v>-29175.79413498853</v>
      </c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81" ht="15" customHeight="1" outlineLevel="1">
      <c r="A32" s="37"/>
      <c r="B32" s="111" t="s">
        <v>214</v>
      </c>
      <c r="C32" s="112"/>
      <c r="D32" s="112"/>
      <c r="E32" s="112"/>
      <c r="F32" s="271">
        <v>848</v>
      </c>
      <c r="G32" s="271">
        <v>3115</v>
      </c>
      <c r="H32" s="271">
        <v>-2467</v>
      </c>
      <c r="I32" s="447">
        <f ca="1">-I390</f>
        <v>-398.29101714285571</v>
      </c>
      <c r="J32" s="447">
        <f t="shared" ref="J32:L32" ca="1" si="13">-J390</f>
        <v>-475.08673142857151</v>
      </c>
      <c r="K32" s="447">
        <f t="shared" ca="1" si="13"/>
        <v>-555.24387428571572</v>
      </c>
      <c r="L32" s="447">
        <f t="shared" ca="1" si="13"/>
        <v>-638.76244571428469</v>
      </c>
      <c r="M32" s="447">
        <f ca="1">-M390</f>
        <v>-725.90101714285629</v>
      </c>
      <c r="N32" s="446">
        <v>0</v>
      </c>
      <c r="O32" s="37"/>
      <c r="P32" s="37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81" ht="15" customHeight="1" outlineLevel="1">
      <c r="A33" s="37"/>
      <c r="B33" s="111" t="s">
        <v>213</v>
      </c>
      <c r="C33" s="112"/>
      <c r="D33" s="112"/>
      <c r="E33" s="112"/>
      <c r="F33" s="263">
        <f>SUM(F31:F32)</f>
        <v>-16741</v>
      </c>
      <c r="G33" s="263">
        <f t="shared" ref="G33:L33" si="14">SUM(G31:G32)</f>
        <v>-29749</v>
      </c>
      <c r="H33" s="263">
        <f t="shared" si="14"/>
        <v>-20719</v>
      </c>
      <c r="I33" s="263">
        <f ca="1">SUM(I31:I32)</f>
        <v>-25680.394953768522</v>
      </c>
      <c r="J33" s="263">
        <f t="shared" ca="1" si="14"/>
        <v>-26826.34268550573</v>
      </c>
      <c r="K33" s="263">
        <f t="shared" ca="1" si="14"/>
        <v>-27627.036006836031</v>
      </c>
      <c r="L33" s="263">
        <f t="shared" ca="1" si="14"/>
        <v>-28081.894433551472</v>
      </c>
      <c r="M33" s="263">
        <f ca="1">SUM(M31:M32)</f>
        <v>-28610.836408394171</v>
      </c>
      <c r="N33" s="448">
        <f ca="1">SUM(N31:N32)</f>
        <v>-29175.79413498853</v>
      </c>
      <c r="O33" s="37"/>
      <c r="P33" s="37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81" ht="15" customHeight="1" outlineLevel="1">
      <c r="A34" s="37"/>
      <c r="B34" s="111"/>
      <c r="C34" s="112"/>
      <c r="D34" s="112"/>
      <c r="E34" s="112"/>
      <c r="F34" s="445"/>
      <c r="G34" s="445"/>
      <c r="H34" s="445"/>
      <c r="I34" s="444"/>
      <c r="J34" s="444"/>
      <c r="K34" s="444"/>
      <c r="L34" s="444"/>
      <c r="M34" s="336"/>
      <c r="N34" s="443"/>
      <c r="O34" s="37"/>
      <c r="P34" s="37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81" ht="15" customHeight="1" outlineLevel="1" thickBot="1">
      <c r="A35" s="37"/>
      <c r="B35" s="194" t="s">
        <v>144</v>
      </c>
      <c r="C35" s="357"/>
      <c r="D35" s="112"/>
      <c r="E35" s="112"/>
      <c r="F35" s="442">
        <f>F29+F33</f>
        <v>96995</v>
      </c>
      <c r="G35" s="442">
        <f t="shared" ref="G35" si="15">G29+G33</f>
        <v>93736</v>
      </c>
      <c r="H35" s="442">
        <f>H29+H33</f>
        <v>112010</v>
      </c>
      <c r="I35" s="442">
        <f ca="1">I29+I33</f>
        <v>116200.24014992497</v>
      </c>
      <c r="J35" s="442">
        <f t="shared" ref="J35:L35" ca="1" si="16">J29+J33</f>
        <v>121385.49535596238</v>
      </c>
      <c r="K35" s="442">
        <f t="shared" ca="1" si="16"/>
        <v>125008.52204198182</v>
      </c>
      <c r="L35" s="442">
        <f t="shared" ca="1" si="16"/>
        <v>127066.69359711965</v>
      </c>
      <c r="M35" s="442">
        <f ca="1">M29+M33</f>
        <v>129460.08297499905</v>
      </c>
      <c r="N35" s="442">
        <f ca="1">N29+N33</f>
        <v>132016.43865500335</v>
      </c>
      <c r="O35" s="37"/>
      <c r="P35" s="37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</row>
    <row r="36" spans="1:81" s="37" customFormat="1" ht="15" customHeight="1" outlineLevel="1">
      <c r="B36" s="357"/>
      <c r="C36" s="357"/>
      <c r="D36" s="112"/>
      <c r="E36" s="112"/>
      <c r="F36" s="441"/>
      <c r="G36" s="441"/>
      <c r="H36" s="441"/>
      <c r="I36" s="441"/>
      <c r="J36" s="441"/>
      <c r="K36" s="441"/>
      <c r="L36" s="441"/>
      <c r="M36" s="441"/>
      <c r="N36" s="440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</row>
    <row r="37" spans="1:81" s="37" customFormat="1" ht="15" customHeight="1" outlineLevel="1">
      <c r="B37" s="465"/>
      <c r="C37" s="122"/>
      <c r="D37" s="464"/>
      <c r="E37" s="236"/>
      <c r="F37" s="268"/>
      <c r="G37" s="268"/>
      <c r="H37" s="463"/>
      <c r="I37" s="463"/>
      <c r="J37" s="463"/>
      <c r="K37" s="463"/>
      <c r="L37" s="463"/>
      <c r="M37" s="463"/>
      <c r="N37" s="463"/>
      <c r="O37" s="34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</row>
    <row r="38" spans="1:81" ht="15" customHeight="1">
      <c r="A38" s="37"/>
      <c r="B38" s="38"/>
      <c r="C38" s="53"/>
      <c r="D38" s="422"/>
      <c r="E38" s="47"/>
      <c r="F38" s="269"/>
      <c r="G38" s="269"/>
      <c r="H38" s="537"/>
      <c r="I38" s="537"/>
      <c r="J38" s="537"/>
      <c r="K38" s="537"/>
      <c r="L38" s="537"/>
      <c r="M38" s="537"/>
      <c r="N38" s="537"/>
      <c r="O38" s="34"/>
      <c r="P38" s="37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</row>
    <row r="39" spans="1:81" ht="15" customHeight="1">
      <c r="A39" s="37" t="s">
        <v>0</v>
      </c>
      <c r="B39" s="57" t="s">
        <v>272</v>
      </c>
      <c r="C39" s="56"/>
      <c r="D39" s="55"/>
      <c r="E39" s="55"/>
      <c r="F39" s="54"/>
      <c r="G39" s="54"/>
      <c r="H39" s="54"/>
      <c r="I39" s="54"/>
      <c r="J39" s="54"/>
      <c r="K39" s="54"/>
      <c r="L39" s="54"/>
      <c r="M39" s="54"/>
      <c r="N39" s="302"/>
      <c r="O39" s="46"/>
      <c r="P39" s="37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</row>
    <row r="40" spans="1:81" ht="15" customHeight="1" outlineLevel="1">
      <c r="A40" s="46"/>
      <c r="B40" s="183"/>
      <c r="C40" s="53"/>
      <c r="D40" s="52"/>
      <c r="E40" s="52"/>
      <c r="F40" s="51"/>
      <c r="G40" s="51"/>
      <c r="H40" s="51"/>
      <c r="I40" s="51"/>
      <c r="J40" s="51"/>
      <c r="K40" s="51"/>
      <c r="L40" s="51"/>
      <c r="M40" s="51"/>
      <c r="N40" s="51"/>
      <c r="O40" s="46"/>
      <c r="P40" s="37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</row>
    <row r="41" spans="1:81" ht="15" customHeight="1" outlineLevel="1" thickBot="1">
      <c r="A41" s="46"/>
      <c r="B41" s="43" t="s">
        <v>263</v>
      </c>
      <c r="C41" s="53"/>
      <c r="D41" s="47"/>
      <c r="E41" s="47"/>
      <c r="F41" s="354">
        <f t="shared" ref="F41:M41" si="17">F$141</f>
        <v>2023</v>
      </c>
      <c r="G41" s="354">
        <f t="shared" si="17"/>
        <v>2024</v>
      </c>
      <c r="H41" s="354">
        <f t="shared" si="17"/>
        <v>2025</v>
      </c>
      <c r="I41" s="234">
        <f t="shared" si="17"/>
        <v>2026</v>
      </c>
      <c r="J41" s="234">
        <f t="shared" si="17"/>
        <v>2027</v>
      </c>
      <c r="K41" s="234">
        <f t="shared" si="17"/>
        <v>2028</v>
      </c>
      <c r="L41" s="234">
        <f t="shared" si="17"/>
        <v>2029</v>
      </c>
      <c r="M41" s="234">
        <f t="shared" si="17"/>
        <v>2030</v>
      </c>
      <c r="N41" s="49"/>
      <c r="O41" s="46"/>
      <c r="P41" s="37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</row>
    <row r="42" spans="1:81" ht="15" customHeight="1" outlineLevel="1">
      <c r="A42" s="37"/>
      <c r="B42" s="43" t="str">
        <f>$B$142</f>
        <v>Model Running: Base Case Drivers</v>
      </c>
      <c r="C42" s="53"/>
      <c r="D42" s="47"/>
      <c r="E42" s="47"/>
      <c r="F42" s="47"/>
      <c r="G42" s="47"/>
      <c r="H42" s="47"/>
      <c r="I42" s="49"/>
      <c r="J42" s="49"/>
      <c r="K42" s="49"/>
      <c r="L42" s="49"/>
      <c r="M42" s="49"/>
      <c r="N42" s="49"/>
      <c r="P42" s="37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</row>
    <row r="43" spans="1:81" ht="15" customHeight="1" outlineLevel="1">
      <c r="A43" s="46"/>
      <c r="B43" s="43"/>
      <c r="C43" s="53"/>
      <c r="D43" s="47"/>
      <c r="E43" s="47"/>
      <c r="F43" s="47"/>
      <c r="G43" s="47"/>
      <c r="H43" s="47"/>
      <c r="I43" s="49"/>
      <c r="J43" s="49"/>
      <c r="K43" s="49"/>
      <c r="L43" s="49"/>
      <c r="M43" s="49"/>
      <c r="N43" s="49"/>
      <c r="P43" s="37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</row>
    <row r="44" spans="1:81" ht="15" customHeight="1" outlineLevel="1">
      <c r="A44" s="37"/>
      <c r="B44" s="43"/>
      <c r="C44" s="53"/>
      <c r="D44" s="47"/>
      <c r="E44" s="47"/>
      <c r="F44" s="47"/>
      <c r="G44" s="47"/>
      <c r="H44" s="47"/>
      <c r="I44" s="49"/>
      <c r="J44" s="49"/>
      <c r="K44" s="49"/>
      <c r="L44" s="49"/>
      <c r="M44" s="49"/>
      <c r="N44" s="49"/>
      <c r="P44" s="37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</row>
    <row r="45" spans="1:81" ht="15" customHeight="1" outlineLevel="1">
      <c r="A45" s="37"/>
      <c r="B45" s="357" t="s">
        <v>273</v>
      </c>
      <c r="C45" s="112"/>
      <c r="D45" s="47"/>
      <c r="E45" s="112"/>
      <c r="F45" s="265"/>
      <c r="G45" s="265"/>
      <c r="H45" s="265"/>
      <c r="I45" s="336"/>
      <c r="J45" s="336"/>
      <c r="K45" s="336"/>
      <c r="L45" s="336"/>
      <c r="M45" s="49"/>
      <c r="N45" s="49"/>
      <c r="O45" s="46"/>
      <c r="P45" s="37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</row>
    <row r="46" spans="1:81" s="37" customFormat="1" ht="15" customHeight="1" outlineLevel="1">
      <c r="A46" s="46"/>
      <c r="B46" s="255" t="s">
        <v>144</v>
      </c>
      <c r="C46" s="112"/>
      <c r="D46" s="47"/>
      <c r="E46" s="112"/>
      <c r="F46" s="265">
        <f>F35</f>
        <v>96995</v>
      </c>
      <c r="G46" s="265">
        <f t="shared" ref="G46:M46" si="18">G35</f>
        <v>93736</v>
      </c>
      <c r="H46" s="265">
        <f t="shared" si="18"/>
        <v>112010</v>
      </c>
      <c r="I46" s="336">
        <f t="shared" ca="1" si="18"/>
        <v>116200.24014992497</v>
      </c>
      <c r="J46" s="336">
        <f t="shared" ca="1" si="18"/>
        <v>121385.49535596238</v>
      </c>
      <c r="K46" s="336">
        <f t="shared" ca="1" si="18"/>
        <v>125008.52204198182</v>
      </c>
      <c r="L46" s="336">
        <f t="shared" ca="1" si="18"/>
        <v>127066.69359711965</v>
      </c>
      <c r="M46" s="336">
        <f t="shared" ca="1" si="18"/>
        <v>129460.08297499905</v>
      </c>
      <c r="N46" s="49"/>
      <c r="O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</row>
    <row r="47" spans="1:81" ht="15" customHeight="1" outlineLevel="1">
      <c r="A47" s="46"/>
      <c r="B47" s="255" t="s">
        <v>159</v>
      </c>
      <c r="C47" s="112"/>
      <c r="D47" s="47"/>
      <c r="E47" s="112"/>
      <c r="F47" s="265">
        <f>-F32</f>
        <v>-848</v>
      </c>
      <c r="G47" s="265">
        <f t="shared" ref="G47" si="19">-G32</f>
        <v>-3115</v>
      </c>
      <c r="H47" s="265">
        <f>-H32</f>
        <v>2467</v>
      </c>
      <c r="I47" s="336">
        <f ca="1">-I32</f>
        <v>398.29101714285571</v>
      </c>
      <c r="J47" s="336">
        <f t="shared" ref="J47:M47" ca="1" si="20">-J32</f>
        <v>475.08673142857151</v>
      </c>
      <c r="K47" s="336">
        <f t="shared" ca="1" si="20"/>
        <v>555.24387428571572</v>
      </c>
      <c r="L47" s="336">
        <f t="shared" ca="1" si="20"/>
        <v>638.76244571428469</v>
      </c>
      <c r="M47" s="336">
        <f t="shared" ca="1" si="20"/>
        <v>725.90101714285629</v>
      </c>
      <c r="N47" s="49"/>
      <c r="O47" s="46"/>
      <c r="P47" s="37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</row>
    <row r="48" spans="1:81" ht="15" customHeight="1" outlineLevel="1">
      <c r="A48" s="46"/>
      <c r="B48" s="255" t="s">
        <v>216</v>
      </c>
      <c r="C48" s="112"/>
      <c r="D48" s="47"/>
      <c r="E48" s="112"/>
      <c r="F48" s="265">
        <f>-F22</f>
        <v>11519</v>
      </c>
      <c r="G48" s="265">
        <f t="shared" ref="G48:H48" si="21">-G22</f>
        <v>11445</v>
      </c>
      <c r="H48" s="265">
        <f t="shared" si="21"/>
        <v>11698</v>
      </c>
      <c r="I48" s="336">
        <f>-I22</f>
        <v>11002.514285714286</v>
      </c>
      <c r="J48" s="336">
        <f t="shared" ref="J48:M48" si="22">-J22</f>
        <v>13123.942857142856</v>
      </c>
      <c r="K48" s="336">
        <f t="shared" si="22"/>
        <v>15338.228571428572</v>
      </c>
      <c r="L48" s="336">
        <f t="shared" si="22"/>
        <v>17645.371428571427</v>
      </c>
      <c r="M48" s="336">
        <f t="shared" si="22"/>
        <v>20052.514285714286</v>
      </c>
      <c r="N48" s="49"/>
      <c r="O48" s="46"/>
      <c r="P48" s="37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</row>
    <row r="49" spans="1:81" ht="15" customHeight="1" outlineLevel="1">
      <c r="A49" s="37"/>
      <c r="B49" s="534" t="s">
        <v>274</v>
      </c>
      <c r="C49" s="112"/>
      <c r="D49" s="47"/>
      <c r="E49" s="112"/>
      <c r="F49" s="265">
        <v>-1688</v>
      </c>
      <c r="G49" s="265">
        <v>-3788</v>
      </c>
      <c r="H49" s="265">
        <v>-6682</v>
      </c>
      <c r="I49" s="336">
        <f t="shared" ref="I49:M51" si="23">I266</f>
        <v>-2885.3545266318542</v>
      </c>
      <c r="J49" s="336">
        <f t="shared" si="23"/>
        <v>-2025.6085929244873</v>
      </c>
      <c r="K49" s="336">
        <f t="shared" si="23"/>
        <v>-1441.4102504212788</v>
      </c>
      <c r="L49" s="336">
        <f t="shared" si="23"/>
        <v>-1206.7444073586084</v>
      </c>
      <c r="M49" s="336">
        <f t="shared" si="23"/>
        <v>-1238.3128410551217</v>
      </c>
      <c r="N49" s="49"/>
      <c r="O49" s="46"/>
      <c r="P49" s="37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</row>
    <row r="50" spans="1:81" ht="15" customHeight="1" outlineLevel="1">
      <c r="A50" s="37"/>
      <c r="B50" s="534" t="s">
        <v>307</v>
      </c>
      <c r="C50" s="112"/>
      <c r="D50" s="47"/>
      <c r="E50" s="112"/>
      <c r="F50" s="265">
        <v>-6245</v>
      </c>
      <c r="G50" s="265">
        <v>-1356</v>
      </c>
      <c r="H50" s="265">
        <v>-347</v>
      </c>
      <c r="I50" s="336">
        <f t="shared" si="23"/>
        <v>-3387.7324513987332</v>
      </c>
      <c r="J50" s="336">
        <f t="shared" si="23"/>
        <v>-1736.2359367924146</v>
      </c>
      <c r="K50" s="336">
        <f t="shared" si="23"/>
        <v>-1235.4945003610992</v>
      </c>
      <c r="L50" s="336">
        <f t="shared" si="23"/>
        <v>-1034.3523491645174</v>
      </c>
      <c r="M50" s="336">
        <f t="shared" si="23"/>
        <v>-1061.4110066186768</v>
      </c>
      <c r="N50" s="49"/>
      <c r="O50" s="46"/>
      <c r="P50" s="37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</row>
    <row r="51" spans="1:81" ht="15" customHeight="1" outlineLevel="1">
      <c r="A51" s="37"/>
      <c r="B51" s="534" t="s">
        <v>275</v>
      </c>
      <c r="C51" s="112"/>
      <c r="D51" s="47"/>
      <c r="E51" s="112"/>
      <c r="F51" s="265">
        <v>-1618</v>
      </c>
      <c r="G51" s="265">
        <v>-1046</v>
      </c>
      <c r="H51" s="265">
        <v>1400</v>
      </c>
      <c r="I51" s="336">
        <f t="shared" ref="I51:I56" si="24">I268</f>
        <v>-728.24643069963076</v>
      </c>
      <c r="J51" s="336">
        <f t="shared" si="23"/>
        <v>-357.86804713553465</v>
      </c>
      <c r="K51" s="336">
        <f t="shared" si="23"/>
        <v>-266.8224124006174</v>
      </c>
      <c r="L51" s="336">
        <f t="shared" si="23"/>
        <v>-263.48703548816775</v>
      </c>
      <c r="M51" s="336">
        <f t="shared" si="23"/>
        <v>-265.97886730602113</v>
      </c>
      <c r="N51" s="49"/>
      <c r="O51" s="46"/>
      <c r="P51" s="3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</row>
    <row r="52" spans="1:81" ht="15" customHeight="1" outlineLevel="1">
      <c r="A52" s="37"/>
      <c r="B52" s="534" t="s">
        <v>348</v>
      </c>
      <c r="C52" s="112"/>
      <c r="D52" s="47"/>
      <c r="E52" s="112"/>
      <c r="F52" s="265">
        <v>6528</v>
      </c>
      <c r="G52" s="265">
        <f>G269</f>
        <v>408</v>
      </c>
      <c r="H52" s="265">
        <f t="shared" ref="H52:M52" si="25">H269</f>
        <v>-298</v>
      </c>
      <c r="I52" s="336">
        <f t="shared" si="24"/>
        <v>-350.04000000000087</v>
      </c>
      <c r="J52" s="336">
        <f t="shared" si="25"/>
        <v>-373.37599999999838</v>
      </c>
      <c r="K52" s="336">
        <f t="shared" si="25"/>
        <v>-352.09356799999841</v>
      </c>
      <c r="L52" s="336">
        <f t="shared" si="25"/>
        <v>-344.5312104959994</v>
      </c>
      <c r="M52" s="336">
        <f t="shared" si="25"/>
        <v>-336.10585634841482</v>
      </c>
      <c r="N52" s="49"/>
      <c r="O52" s="46"/>
      <c r="P52" s="37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</row>
    <row r="53" spans="1:81" ht="15" customHeight="1" outlineLevel="1">
      <c r="A53" s="37"/>
      <c r="B53" s="534" t="s">
        <v>349</v>
      </c>
      <c r="C53" s="112"/>
      <c r="D53" s="47"/>
      <c r="E53" s="112"/>
      <c r="F53" s="265">
        <v>-10330</v>
      </c>
      <c r="G53" s="265">
        <f t="shared" ref="G53:M55" si="26">G270</f>
        <v>-10076</v>
      </c>
      <c r="H53" s="265">
        <f t="shared" si="26"/>
        <v>-8893</v>
      </c>
      <c r="I53" s="336">
        <f t="shared" si="24"/>
        <v>-2009.448000000004</v>
      </c>
      <c r="J53" s="336">
        <f t="shared" si="26"/>
        <v>-2143.4111999999877</v>
      </c>
      <c r="K53" s="336">
        <f t="shared" si="26"/>
        <v>-2021.2367615999974</v>
      </c>
      <c r="L53" s="336">
        <f t="shared" si="26"/>
        <v>-1977.8241111552052</v>
      </c>
      <c r="M53" s="336">
        <f t="shared" si="26"/>
        <v>-1929.4573215278506</v>
      </c>
      <c r="N53" s="49"/>
      <c r="O53" s="46"/>
      <c r="P53" s="3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</row>
    <row r="54" spans="1:81" ht="15" customHeight="1" outlineLevel="1">
      <c r="A54" s="37"/>
      <c r="B54" s="534" t="s">
        <v>350</v>
      </c>
      <c r="C54" s="112"/>
      <c r="D54" s="47"/>
      <c r="E54" s="112"/>
      <c r="F54" s="265">
        <v>-2016</v>
      </c>
      <c r="G54" s="265">
        <f t="shared" si="26"/>
        <v>19475</v>
      </c>
      <c r="H54" s="265">
        <f t="shared" si="26"/>
        <v>-11917</v>
      </c>
      <c r="I54" s="336">
        <f t="shared" si="24"/>
        <v>1593.2880000000005</v>
      </c>
      <c r="J54" s="336">
        <f t="shared" si="26"/>
        <v>1699.5071999999927</v>
      </c>
      <c r="K54" s="336">
        <f t="shared" si="26"/>
        <v>1602.635289599988</v>
      </c>
      <c r="L54" s="336">
        <f t="shared" si="26"/>
        <v>1568.2134707711957</v>
      </c>
      <c r="M54" s="336">
        <f t="shared" si="26"/>
        <v>1529.8635231677908</v>
      </c>
      <c r="N54" s="49"/>
      <c r="O54" s="46"/>
      <c r="P54" s="37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</row>
    <row r="55" spans="1:81" s="37" customFormat="1" ht="15" customHeight="1" outlineLevel="1">
      <c r="B55" s="534" t="s">
        <v>351</v>
      </c>
      <c r="C55" s="112"/>
      <c r="D55" s="47"/>
      <c r="E55" s="112"/>
      <c r="F55" s="265">
        <v>706</v>
      </c>
      <c r="G55" s="265">
        <f t="shared" si="26"/>
        <v>-845</v>
      </c>
      <c r="H55" s="265">
        <f t="shared" si="26"/>
        <v>-6806</v>
      </c>
      <c r="I55" s="336">
        <f t="shared" si="24"/>
        <v>1033.0800000000017</v>
      </c>
      <c r="J55" s="336">
        <f t="shared" si="26"/>
        <v>1101.9519999999975</v>
      </c>
      <c r="K55" s="336">
        <f t="shared" si="26"/>
        <v>1039.1407359999939</v>
      </c>
      <c r="L55" s="336">
        <f t="shared" si="26"/>
        <v>1016.8218001920031</v>
      </c>
      <c r="M55" s="336">
        <f t="shared" si="26"/>
        <v>991.95588526002393</v>
      </c>
      <c r="N55" s="49"/>
      <c r="O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</row>
    <row r="56" spans="1:81" s="37" customFormat="1" ht="15" customHeight="1" outlineLevel="1">
      <c r="B56" s="534" t="s">
        <v>276</v>
      </c>
      <c r="C56" s="112"/>
      <c r="D56" s="47"/>
      <c r="E56" s="112"/>
      <c r="F56" s="265">
        <v>-1889</v>
      </c>
      <c r="G56" s="265">
        <v>6020</v>
      </c>
      <c r="H56" s="265">
        <v>902</v>
      </c>
      <c r="I56" s="336">
        <f t="shared" si="24"/>
        <v>4271.8339530457597</v>
      </c>
      <c r="J56" s="336">
        <f>J273</f>
        <v>4115.4825420586421</v>
      </c>
      <c r="K56" s="336">
        <f>K273</f>
        <v>3068.4577426071046</v>
      </c>
      <c r="L56" s="336">
        <f>L273</f>
        <v>3030.10090811392</v>
      </c>
      <c r="M56" s="336">
        <f>M273</f>
        <v>3058.7569740192557</v>
      </c>
      <c r="N56" s="49"/>
      <c r="O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</row>
    <row r="57" spans="1:81" s="37" customFormat="1" ht="15" customHeight="1" outlineLevel="1">
      <c r="B57" s="534" t="s">
        <v>353</v>
      </c>
      <c r="C57" s="112"/>
      <c r="D57" s="47"/>
      <c r="E57" s="112"/>
      <c r="F57" s="265">
        <v>-291</v>
      </c>
      <c r="G57" s="265">
        <f>G111-F111</f>
        <v>188</v>
      </c>
      <c r="H57" s="265">
        <f t="shared" ref="H57:M57" si="27">H111-G111</f>
        <v>806</v>
      </c>
      <c r="I57" s="336">
        <f>I111-H111</f>
        <v>288.05564133237749</v>
      </c>
      <c r="J57" s="336">
        <f t="shared" si="27"/>
        <v>443.60828185046194</v>
      </c>
      <c r="K57" s="336">
        <f t="shared" si="27"/>
        <v>315.66884484226102</v>
      </c>
      <c r="L57" s="336">
        <f t="shared" si="27"/>
        <v>264.27702521153515</v>
      </c>
      <c r="M57" s="336">
        <f t="shared" si="27"/>
        <v>271.19051219107132</v>
      </c>
      <c r="N57" s="49"/>
      <c r="O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</row>
    <row r="58" spans="1:81" s="37" customFormat="1" ht="15" customHeight="1" outlineLevel="1">
      <c r="B58" s="255" t="s">
        <v>277</v>
      </c>
      <c r="C58" s="112"/>
      <c r="D58" s="47"/>
      <c r="E58" s="112"/>
      <c r="F58" s="265">
        <v>10833</v>
      </c>
      <c r="G58" s="265">
        <v>11688</v>
      </c>
      <c r="H58" s="265">
        <v>12863</v>
      </c>
      <c r="I58" s="336">
        <f>I515</f>
        <v>15068.427434867903</v>
      </c>
      <c r="J58" s="336">
        <f t="shared" ref="J58:M58" si="28">J515</f>
        <v>15846.643767455229</v>
      </c>
      <c r="K58" s="336">
        <f t="shared" si="28"/>
        <v>16430.795542582528</v>
      </c>
      <c r="L58" s="336">
        <f t="shared" si="28"/>
        <v>16997.743970206029</v>
      </c>
      <c r="M58" s="336">
        <f t="shared" si="28"/>
        <v>17569.841931973126</v>
      </c>
      <c r="N58" s="49"/>
      <c r="O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</row>
    <row r="59" spans="1:81" s="37" customFormat="1" ht="15" customHeight="1" outlineLevel="1">
      <c r="B59" s="255" t="s">
        <v>352</v>
      </c>
      <c r="C59" s="112"/>
      <c r="D59" s="112"/>
      <c r="E59" s="112"/>
      <c r="F59" s="271">
        <v>8887</v>
      </c>
      <c r="G59" s="271">
        <v>-4480</v>
      </c>
      <c r="H59" s="271">
        <v>4279</v>
      </c>
      <c r="I59" s="447">
        <v>0</v>
      </c>
      <c r="J59" s="447">
        <v>0</v>
      </c>
      <c r="K59" s="447">
        <v>0</v>
      </c>
      <c r="L59" s="447">
        <v>0</v>
      </c>
      <c r="M59" s="447">
        <v>0</v>
      </c>
      <c r="N59" s="49"/>
      <c r="O59" s="27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</row>
    <row r="60" spans="1:81" s="37" customFormat="1" ht="15" customHeight="1" outlineLevel="1">
      <c r="B60" s="255" t="s">
        <v>227</v>
      </c>
      <c r="C60" s="357"/>
      <c r="D60" s="112"/>
      <c r="E60" s="112"/>
      <c r="F60" s="335">
        <f>SUM(F45:F59)</f>
        <v>110543</v>
      </c>
      <c r="G60" s="335">
        <f>SUM(G46:G59)</f>
        <v>118254</v>
      </c>
      <c r="H60" s="335">
        <f>SUM(H45:H59)</f>
        <v>111482</v>
      </c>
      <c r="I60" s="335">
        <f t="shared" ref="I60:M60" ca="1" si="29">SUM(I45:I59)</f>
        <v>140494.90907329792</v>
      </c>
      <c r="J60" s="335">
        <f t="shared" ca="1" si="29"/>
        <v>151555.21895904571</v>
      </c>
      <c r="K60" s="335">
        <f t="shared" ca="1" si="29"/>
        <v>158041.63515054499</v>
      </c>
      <c r="L60" s="335">
        <f t="shared" ca="1" si="29"/>
        <v>163401.04553223759</v>
      </c>
      <c r="M60" s="335">
        <f t="shared" ca="1" si="29"/>
        <v>168828.84121161135</v>
      </c>
      <c r="N60" s="49"/>
      <c r="O60" s="27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</row>
    <row r="61" spans="1:81" s="37" customFormat="1" ht="15" customHeight="1" outlineLevel="1">
      <c r="B61" s="194"/>
      <c r="C61" s="357"/>
      <c r="D61" s="112"/>
      <c r="E61" s="112"/>
      <c r="F61" s="450"/>
      <c r="G61" s="450"/>
      <c r="H61" s="450"/>
      <c r="I61" s="335"/>
      <c r="J61" s="335"/>
      <c r="K61" s="335"/>
      <c r="L61" s="335"/>
      <c r="M61" s="335"/>
      <c r="N61" s="49"/>
      <c r="O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</row>
    <row r="62" spans="1:81" s="37" customFormat="1" ht="15" customHeight="1" outlineLevel="1">
      <c r="B62" s="111"/>
      <c r="C62" s="112"/>
      <c r="D62" s="112"/>
      <c r="E62" s="112"/>
      <c r="F62" s="454"/>
      <c r="G62" s="454"/>
      <c r="H62" s="454"/>
      <c r="I62" s="450"/>
      <c r="J62" s="450"/>
      <c r="K62" s="450"/>
      <c r="L62" s="450"/>
      <c r="M62" s="453"/>
      <c r="N62" s="49"/>
      <c r="O62" s="34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</row>
    <row r="63" spans="1:81" s="37" customFormat="1" ht="15" customHeight="1" outlineLevel="1">
      <c r="B63" s="357" t="s">
        <v>278</v>
      </c>
      <c r="C63" s="112"/>
      <c r="D63" s="265"/>
      <c r="E63" s="112"/>
      <c r="F63" s="265"/>
      <c r="G63" s="265"/>
      <c r="H63" s="265"/>
      <c r="I63" s="336"/>
      <c r="J63" s="336"/>
      <c r="K63" s="336"/>
      <c r="L63" s="336"/>
      <c r="M63" s="336"/>
      <c r="N63" s="49"/>
      <c r="O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</row>
    <row r="64" spans="1:81" s="37" customFormat="1" ht="15" customHeight="1" outlineLevel="1">
      <c r="B64" s="255" t="s">
        <v>99</v>
      </c>
      <c r="C64" s="112"/>
      <c r="D64" s="265"/>
      <c r="E64" s="112"/>
      <c r="F64" s="265">
        <v>-10959</v>
      </c>
      <c r="G64" s="265">
        <v>-9447</v>
      </c>
      <c r="H64" s="265">
        <v>-12715</v>
      </c>
      <c r="I64" s="336">
        <f>-I332</f>
        <v>-14500</v>
      </c>
      <c r="J64" s="336">
        <f>-J332</f>
        <v>-15200</v>
      </c>
      <c r="K64" s="336">
        <f>-K332</f>
        <v>-15800</v>
      </c>
      <c r="L64" s="336">
        <f>-L332</f>
        <v>-16500</v>
      </c>
      <c r="M64" s="336">
        <f>-M332</f>
        <v>-17200</v>
      </c>
      <c r="N64" s="49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</row>
    <row r="65" spans="2:81" s="37" customFormat="1" ht="15" customHeight="1" outlineLevel="1">
      <c r="B65" s="255" t="s">
        <v>308</v>
      </c>
      <c r="C65" s="112"/>
      <c r="D65" s="112"/>
      <c r="E65" s="112"/>
      <c r="F65" s="271">
        <v>20553</v>
      </c>
      <c r="G65" s="271">
        <v>13690</v>
      </c>
      <c r="H65" s="271">
        <v>29390</v>
      </c>
      <c r="I65" s="447">
        <v>0</v>
      </c>
      <c r="J65" s="447">
        <v>0</v>
      </c>
      <c r="K65" s="447">
        <v>0</v>
      </c>
      <c r="L65" s="447">
        <v>0</v>
      </c>
      <c r="M65" s="447">
        <v>0</v>
      </c>
      <c r="N65" s="49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</row>
    <row r="66" spans="2:81" s="37" customFormat="1" ht="15" customHeight="1" outlineLevel="1">
      <c r="B66" s="255" t="s">
        <v>227</v>
      </c>
      <c r="C66" s="357"/>
      <c r="D66" s="112"/>
      <c r="E66" s="112"/>
      <c r="F66" s="335">
        <f>SUM(F64:F65)</f>
        <v>9594</v>
      </c>
      <c r="G66" s="335">
        <f>SUM(G64:G65)</f>
        <v>4243</v>
      </c>
      <c r="H66" s="335">
        <f>SUM(H64:H65)</f>
        <v>16675</v>
      </c>
      <c r="I66" s="335">
        <f>SUM(I64:I65)</f>
        <v>-14500</v>
      </c>
      <c r="J66" s="335">
        <f t="shared" ref="J66:L66" si="30">SUM(J64:J65)</f>
        <v>-15200</v>
      </c>
      <c r="K66" s="335">
        <f t="shared" si="30"/>
        <v>-15800</v>
      </c>
      <c r="L66" s="335">
        <f t="shared" si="30"/>
        <v>-16500</v>
      </c>
      <c r="M66" s="335">
        <f>SUM(M64:M65)</f>
        <v>-17200</v>
      </c>
      <c r="N66" s="49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</row>
    <row r="67" spans="2:81" s="37" customFormat="1" ht="15" customHeight="1" outlineLevel="1">
      <c r="B67" s="194"/>
      <c r="C67" s="357"/>
      <c r="D67" s="112"/>
      <c r="E67" s="112"/>
      <c r="F67" s="450"/>
      <c r="G67" s="450"/>
      <c r="H67" s="450"/>
      <c r="I67" s="335"/>
      <c r="J67" s="335"/>
      <c r="K67" s="335"/>
      <c r="L67" s="335"/>
      <c r="M67" s="335"/>
      <c r="N67" s="49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</row>
    <row r="68" spans="2:81" s="37" customFormat="1" ht="15" customHeight="1" outlineLevel="1">
      <c r="B68" s="111"/>
      <c r="C68" s="112"/>
      <c r="D68" s="112"/>
      <c r="E68" s="112"/>
      <c r="F68" s="335"/>
      <c r="G68" s="335"/>
      <c r="H68" s="335"/>
      <c r="I68" s="335"/>
      <c r="J68" s="335"/>
      <c r="K68" s="335"/>
      <c r="L68" s="335"/>
      <c r="M68" s="335"/>
      <c r="N68" s="49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</row>
    <row r="69" spans="2:81" s="37" customFormat="1" ht="15" customHeight="1" outlineLevel="1">
      <c r="B69" s="357" t="s">
        <v>279</v>
      </c>
      <c r="C69" s="112"/>
      <c r="D69" s="112"/>
      <c r="E69" s="112"/>
      <c r="F69" s="335"/>
      <c r="G69" s="335"/>
      <c r="H69" s="335"/>
      <c r="I69" s="335"/>
      <c r="J69" s="335"/>
      <c r="K69" s="335"/>
      <c r="L69" s="335"/>
      <c r="M69" s="335"/>
      <c r="N69" s="49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</row>
    <row r="70" spans="2:81" s="37" customFormat="1" ht="15" customHeight="1" outlineLevel="1">
      <c r="B70" s="255" t="s">
        <v>280</v>
      </c>
      <c r="C70" s="357"/>
      <c r="D70" s="112"/>
      <c r="E70" s="112"/>
      <c r="F70" s="265">
        <v>-6505</v>
      </c>
      <c r="G70" s="265">
        <v>-9505</v>
      </c>
      <c r="H70" s="265">
        <v>-5201</v>
      </c>
      <c r="I70" s="336">
        <f>I462</f>
        <v>-12350</v>
      </c>
      <c r="J70" s="336">
        <f>J462</f>
        <v>-9350</v>
      </c>
      <c r="K70" s="336">
        <f>K462</f>
        <v>-10500</v>
      </c>
      <c r="L70" s="336">
        <f>L462</f>
        <v>-11250</v>
      </c>
      <c r="M70" s="336">
        <f>M462</f>
        <v>-8500</v>
      </c>
      <c r="N70" s="49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</row>
    <row r="71" spans="2:81" s="37" customFormat="1" ht="15" customHeight="1" outlineLevel="1">
      <c r="B71" s="255" t="s">
        <v>310</v>
      </c>
      <c r="C71" s="357"/>
      <c r="D71" s="112"/>
      <c r="E71" s="112"/>
      <c r="F71" s="265">
        <v>-77550</v>
      </c>
      <c r="G71" s="265">
        <v>-91858</v>
      </c>
      <c r="H71" s="265">
        <v>-91100</v>
      </c>
      <c r="I71" s="336">
        <f>I520</f>
        <v>-90000</v>
      </c>
      <c r="J71" s="336">
        <f t="shared" ref="J71:M71" si="31">J520</f>
        <v>-90000</v>
      </c>
      <c r="K71" s="336">
        <f t="shared" si="31"/>
        <v>-90000</v>
      </c>
      <c r="L71" s="336">
        <f t="shared" si="31"/>
        <v>-90000</v>
      </c>
      <c r="M71" s="336">
        <f t="shared" si="31"/>
        <v>-90000</v>
      </c>
      <c r="N71" s="49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</row>
    <row r="72" spans="2:81" s="37" customFormat="1" ht="15" customHeight="1" outlineLevel="1">
      <c r="B72" s="255" t="s">
        <v>309</v>
      </c>
      <c r="C72" s="357"/>
      <c r="D72" s="112"/>
      <c r="E72" s="112"/>
      <c r="F72" s="265">
        <v>-3997</v>
      </c>
      <c r="G72" s="265">
        <v>-3990</v>
      </c>
      <c r="H72" s="265">
        <v>-65</v>
      </c>
      <c r="I72" s="336">
        <f>I492</f>
        <v>0</v>
      </c>
      <c r="J72" s="336">
        <f t="shared" ref="J72:M72" si="32">J492</f>
        <v>0</v>
      </c>
      <c r="K72" s="336">
        <f t="shared" si="32"/>
        <v>0</v>
      </c>
      <c r="L72" s="336">
        <f t="shared" si="32"/>
        <v>0</v>
      </c>
      <c r="M72" s="336">
        <f t="shared" si="32"/>
        <v>0</v>
      </c>
      <c r="N72" s="49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</row>
    <row r="73" spans="2:81" s="37" customFormat="1" ht="15" customHeight="1" outlineLevel="1">
      <c r="B73" s="255" t="s">
        <v>281</v>
      </c>
      <c r="C73" s="357"/>
      <c r="D73" s="112"/>
      <c r="E73" s="112"/>
      <c r="F73" s="265">
        <v>-10741</v>
      </c>
      <c r="G73" s="265">
        <v>-2285</v>
      </c>
      <c r="H73" s="265">
        <v>-10739</v>
      </c>
      <c r="I73" s="336">
        <f>I516</f>
        <v>-4000</v>
      </c>
      <c r="J73" s="336">
        <f t="shared" ref="J73:M73" si="33">J516</f>
        <v>-4000</v>
      </c>
      <c r="K73" s="336">
        <f t="shared" si="33"/>
        <v>-4000</v>
      </c>
      <c r="L73" s="336">
        <f t="shared" si="33"/>
        <v>-4000</v>
      </c>
      <c r="M73" s="336">
        <f t="shared" si="33"/>
        <v>-4000</v>
      </c>
      <c r="N73" s="49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</row>
    <row r="74" spans="2:81" s="37" customFormat="1" ht="15" customHeight="1" outlineLevel="1">
      <c r="B74" s="255" t="s">
        <v>282</v>
      </c>
      <c r="C74" s="357"/>
      <c r="D74" s="112"/>
      <c r="E74" s="112"/>
      <c r="F74" s="271">
        <v>-15025</v>
      </c>
      <c r="G74" s="271">
        <v>-14881</v>
      </c>
      <c r="H74" s="271">
        <v>-15061</v>
      </c>
      <c r="I74" s="447">
        <f ca="1">I531</f>
        <v>-17430.036022488744</v>
      </c>
      <c r="J74" s="447">
        <f t="shared" ref="J74:M74" ca="1" si="34">J531</f>
        <v>-18207.824303394358</v>
      </c>
      <c r="K74" s="447">
        <f t="shared" ca="1" si="34"/>
        <v>-18751.278306297274</v>
      </c>
      <c r="L74" s="447">
        <f t="shared" ca="1" si="34"/>
        <v>-19060.004039567946</v>
      </c>
      <c r="M74" s="447">
        <f t="shared" ca="1" si="34"/>
        <v>-19419.012446249857</v>
      </c>
      <c r="N74" s="49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</row>
    <row r="75" spans="2:81" s="37" customFormat="1" ht="15" customHeight="1" outlineLevel="1">
      <c r="B75" s="255" t="s">
        <v>227</v>
      </c>
      <c r="C75" s="357"/>
      <c r="D75" s="112"/>
      <c r="E75" s="112"/>
      <c r="F75" s="335">
        <f>SUM(F70:F74)</f>
        <v>-113818</v>
      </c>
      <c r="G75" s="335">
        <f>SUM(G70:G74)</f>
        <v>-122519</v>
      </c>
      <c r="H75" s="335">
        <f>SUM(H70:H74)</f>
        <v>-122166</v>
      </c>
      <c r="I75" s="335">
        <f t="shared" ref="I75:M75" ca="1" si="35">SUM(I70:I74)</f>
        <v>-123780.03602248874</v>
      </c>
      <c r="J75" s="335">
        <f t="shared" ca="1" si="35"/>
        <v>-121557.82430339436</v>
      </c>
      <c r="K75" s="335">
        <f t="shared" ca="1" si="35"/>
        <v>-123251.27830629727</v>
      </c>
      <c r="L75" s="335">
        <f t="shared" ca="1" si="35"/>
        <v>-124310.00403956795</v>
      </c>
      <c r="M75" s="335">
        <f t="shared" ca="1" si="35"/>
        <v>-121919.01244624986</v>
      </c>
      <c r="N75" s="49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</row>
    <row r="76" spans="2:81" s="37" customFormat="1" ht="15" customHeight="1" outlineLevel="1">
      <c r="B76" s="194"/>
      <c r="C76" s="357"/>
      <c r="D76" s="112"/>
      <c r="E76" s="112"/>
      <c r="F76" s="335"/>
      <c r="G76" s="335"/>
      <c r="H76" s="335"/>
      <c r="I76" s="335"/>
      <c r="J76" s="335"/>
      <c r="K76" s="335"/>
      <c r="L76" s="335"/>
      <c r="M76" s="335"/>
      <c r="N76" s="49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</row>
    <row r="77" spans="2:81" s="37" customFormat="1" ht="15" customHeight="1" outlineLevel="1">
      <c r="B77" s="111"/>
      <c r="C77" s="112"/>
      <c r="D77" s="112"/>
      <c r="E77" s="112"/>
      <c r="F77" s="265"/>
      <c r="G77" s="265"/>
      <c r="H77" s="265"/>
      <c r="I77" s="336"/>
      <c r="J77" s="336"/>
      <c r="K77" s="336"/>
      <c r="L77" s="336"/>
      <c r="M77" s="336"/>
      <c r="N77" s="49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</row>
    <row r="78" spans="2:81" s="37" customFormat="1" ht="15" customHeight="1" outlineLevel="1">
      <c r="B78" s="357" t="s">
        <v>283</v>
      </c>
      <c r="C78" s="112"/>
      <c r="D78" s="112"/>
      <c r="E78" s="112"/>
      <c r="F78" s="265"/>
      <c r="G78" s="265"/>
      <c r="H78" s="265"/>
      <c r="I78" s="335"/>
      <c r="J78" s="335"/>
      <c r="K78" s="335"/>
      <c r="L78" s="335"/>
      <c r="M78" s="335"/>
      <c r="N78" s="49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</row>
    <row r="79" spans="2:81" s="37" customFormat="1" ht="15" customHeight="1" outlineLevel="1">
      <c r="B79" s="255" t="s">
        <v>284</v>
      </c>
      <c r="C79" s="112"/>
      <c r="D79" s="112"/>
      <c r="E79" s="112"/>
      <c r="F79" s="265">
        <v>23646</v>
      </c>
      <c r="G79" s="265">
        <v>29965</v>
      </c>
      <c r="H79" s="265">
        <v>29943</v>
      </c>
      <c r="I79" s="335">
        <f>H81</f>
        <v>35934</v>
      </c>
      <c r="J79" s="335">
        <f t="shared" ref="J79:M79" ca="1" si="36">I81</f>
        <v>38148.873050809198</v>
      </c>
      <c r="K79" s="335">
        <f t="shared" ca="1" si="36"/>
        <v>52946.267706460552</v>
      </c>
      <c r="L79" s="335">
        <f t="shared" ca="1" si="36"/>
        <v>71936.624550708279</v>
      </c>
      <c r="M79" s="335">
        <f t="shared" ca="1" si="36"/>
        <v>94527.666043377918</v>
      </c>
      <c r="N79" s="49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</row>
    <row r="80" spans="2:81" s="37" customFormat="1" ht="15" customHeight="1" outlineLevel="1">
      <c r="B80" s="255" t="s">
        <v>262</v>
      </c>
      <c r="C80" s="112"/>
      <c r="D80" s="112"/>
      <c r="E80" s="112"/>
      <c r="F80" s="265">
        <f>F75+F66+F60</f>
        <v>6319</v>
      </c>
      <c r="G80" s="265">
        <f t="shared" ref="G80:M80" si="37">G75+G66+G60</f>
        <v>-22</v>
      </c>
      <c r="H80" s="265">
        <f>H75+H66+H60</f>
        <v>5991</v>
      </c>
      <c r="I80" s="265">
        <f ca="1">I75+I66+I60</f>
        <v>2214.8730508091976</v>
      </c>
      <c r="J80" s="265">
        <f t="shared" ca="1" si="37"/>
        <v>14797.394655651355</v>
      </c>
      <c r="K80" s="265">
        <f t="shared" ca="1" si="37"/>
        <v>18990.356844247726</v>
      </c>
      <c r="L80" s="265">
        <f t="shared" ca="1" si="37"/>
        <v>22591.041492669639</v>
      </c>
      <c r="M80" s="265">
        <f t="shared" ca="1" si="37"/>
        <v>29709.828765361483</v>
      </c>
      <c r="N80" s="49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</row>
    <row r="81" spans="1:81" s="37" customFormat="1" ht="15" customHeight="1" outlineLevel="1" thickBot="1">
      <c r="A81" s="27"/>
      <c r="B81" s="255" t="s">
        <v>285</v>
      </c>
      <c r="C81" s="357"/>
      <c r="D81" s="112"/>
      <c r="E81" s="112"/>
      <c r="F81" s="442">
        <f>SUM(F79:F80)</f>
        <v>29965</v>
      </c>
      <c r="G81" s="442">
        <f t="shared" ref="G81:L81" si="38">SUM(G79:G80)</f>
        <v>29943</v>
      </c>
      <c r="H81" s="442">
        <f>SUM(H79:H80)</f>
        <v>35934</v>
      </c>
      <c r="I81" s="442">
        <f ca="1">SUM(I79:I80)</f>
        <v>38148.873050809198</v>
      </c>
      <c r="J81" s="442">
        <f ca="1">SUM(J79:J80)</f>
        <v>52946.267706460552</v>
      </c>
      <c r="K81" s="442">
        <f t="shared" ca="1" si="38"/>
        <v>71936.624550708279</v>
      </c>
      <c r="L81" s="442">
        <f t="shared" ca="1" si="38"/>
        <v>94527.666043377918</v>
      </c>
      <c r="M81" s="442">
        <f ca="1">SUM(M79:M80)</f>
        <v>124237.4948087394</v>
      </c>
      <c r="N81" s="49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</row>
    <row r="82" spans="1:81" s="37" customFormat="1" ht="15" customHeight="1" outlineLevel="1">
      <c r="A82" s="27"/>
      <c r="B82" s="357"/>
      <c r="C82" s="357"/>
      <c r="D82" s="112"/>
      <c r="E82" s="112"/>
      <c r="F82" s="441"/>
      <c r="G82" s="441"/>
      <c r="H82" s="441"/>
      <c r="I82" s="441"/>
      <c r="J82" s="441"/>
      <c r="K82" s="441"/>
      <c r="L82" s="441"/>
      <c r="M82" s="441"/>
      <c r="N82" s="440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</row>
    <row r="83" spans="1:81" s="37" customFormat="1" ht="15" customHeight="1" outlineLevel="1">
      <c r="B83" s="465"/>
      <c r="C83" s="122"/>
      <c r="D83" s="464"/>
      <c r="E83" s="236"/>
      <c r="F83" s="268"/>
      <c r="G83" s="268"/>
      <c r="H83" s="463"/>
      <c r="I83" s="463"/>
      <c r="J83" s="463"/>
      <c r="K83" s="463"/>
      <c r="L83" s="463"/>
      <c r="M83" s="463"/>
      <c r="N83" s="463"/>
      <c r="O83" s="34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</row>
    <row r="84" spans="1:81" s="37" customFormat="1" ht="15" customHeight="1">
      <c r="B84" s="38"/>
      <c r="C84" s="53"/>
      <c r="D84" s="422"/>
      <c r="E84" s="47"/>
      <c r="F84" s="269"/>
      <c r="G84" s="269"/>
      <c r="H84" s="537"/>
      <c r="I84" s="537"/>
      <c r="J84" s="537"/>
      <c r="K84" s="537"/>
      <c r="L84" s="537"/>
      <c r="M84" s="537"/>
      <c r="N84" s="537"/>
      <c r="O84" s="34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</row>
    <row r="85" spans="1:81" s="37" customFormat="1" ht="15" customHeight="1">
      <c r="A85" s="37" t="s">
        <v>0</v>
      </c>
      <c r="B85" s="57" t="s">
        <v>286</v>
      </c>
      <c r="C85" s="56"/>
      <c r="D85" s="55"/>
      <c r="E85" s="55"/>
      <c r="F85" s="54"/>
      <c r="G85" s="54"/>
      <c r="H85" s="54"/>
      <c r="I85" s="54"/>
      <c r="J85" s="54"/>
      <c r="K85" s="54"/>
      <c r="L85" s="54"/>
      <c r="M85" s="54"/>
      <c r="N85" s="302"/>
      <c r="O85" s="34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</row>
    <row r="86" spans="1:81" s="37" customFormat="1" ht="15" customHeight="1" outlineLevel="1">
      <c r="A86" s="46"/>
      <c r="B86" s="183"/>
      <c r="C86" s="53"/>
      <c r="D86" s="52"/>
      <c r="E86" s="52"/>
      <c r="F86" s="51"/>
      <c r="G86" s="51"/>
      <c r="H86" s="51"/>
      <c r="I86" s="51"/>
      <c r="J86" s="51"/>
      <c r="K86" s="51"/>
      <c r="L86" s="51"/>
      <c r="M86" s="51"/>
      <c r="N86" s="51"/>
      <c r="O86" s="34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</row>
    <row r="87" spans="1:81" s="37" customFormat="1" ht="15" customHeight="1" outlineLevel="1" thickBot="1">
      <c r="A87" s="46"/>
      <c r="B87" s="43" t="s">
        <v>263</v>
      </c>
      <c r="C87" s="53"/>
      <c r="D87" s="47"/>
      <c r="E87" s="47"/>
      <c r="F87" s="354">
        <f t="shared" ref="F87:M87" si="39">F$141</f>
        <v>2023</v>
      </c>
      <c r="G87" s="354">
        <f t="shared" si="39"/>
        <v>2024</v>
      </c>
      <c r="H87" s="354">
        <f t="shared" si="39"/>
        <v>2025</v>
      </c>
      <c r="I87" s="234">
        <f t="shared" si="39"/>
        <v>2026</v>
      </c>
      <c r="J87" s="234">
        <f t="shared" si="39"/>
        <v>2027</v>
      </c>
      <c r="K87" s="234">
        <f t="shared" si="39"/>
        <v>2028</v>
      </c>
      <c r="L87" s="234">
        <f t="shared" si="39"/>
        <v>2029</v>
      </c>
      <c r="M87" s="234">
        <f t="shared" si="39"/>
        <v>2030</v>
      </c>
      <c r="N87" s="49"/>
      <c r="O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</row>
    <row r="88" spans="1:81" s="37" customFormat="1" ht="15" customHeight="1" outlineLevel="1">
      <c r="B88" s="43" t="str">
        <f>$B$142</f>
        <v>Model Running: Base Case Drivers</v>
      </c>
      <c r="C88" s="53"/>
      <c r="D88" s="47"/>
      <c r="E88" s="47"/>
      <c r="F88" s="47"/>
      <c r="G88" s="47"/>
      <c r="H88" s="47"/>
      <c r="I88" s="49"/>
      <c r="J88" s="49"/>
      <c r="K88" s="49"/>
      <c r="L88" s="49"/>
      <c r="M88" s="49"/>
      <c r="N88" s="49"/>
      <c r="O88" s="34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</row>
    <row r="89" spans="1:81" s="37" customFormat="1" ht="15" customHeight="1" outlineLevel="1">
      <c r="A89" s="46"/>
      <c r="B89" s="43"/>
      <c r="C89" s="53"/>
      <c r="D89" s="47"/>
      <c r="E89" s="47"/>
      <c r="F89" s="265"/>
      <c r="G89" s="47"/>
      <c r="H89" s="47"/>
      <c r="I89" s="49"/>
      <c r="J89" s="49"/>
      <c r="K89" s="49"/>
      <c r="L89" s="49"/>
      <c r="M89" s="49"/>
      <c r="N89" s="49"/>
      <c r="O89" s="34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</row>
    <row r="90" spans="1:81" s="37" customFormat="1" ht="15" customHeight="1" outlineLevel="1">
      <c r="B90" s="357" t="s">
        <v>287</v>
      </c>
      <c r="C90" s="53"/>
      <c r="D90" s="47"/>
      <c r="E90" s="47"/>
      <c r="F90" s="47"/>
      <c r="G90" s="47"/>
      <c r="H90" s="47"/>
      <c r="I90" s="49"/>
      <c r="J90" s="49"/>
      <c r="K90" s="49"/>
      <c r="L90" s="49"/>
      <c r="M90" s="49"/>
      <c r="N90" s="49"/>
      <c r="O90" s="34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</row>
    <row r="91" spans="1:81" s="37" customFormat="1" ht="15" customHeight="1" outlineLevel="1">
      <c r="B91" s="357"/>
      <c r="C91" s="112"/>
      <c r="D91" s="47"/>
      <c r="E91" s="112"/>
      <c r="F91" s="265"/>
      <c r="G91" s="265"/>
      <c r="H91" s="265"/>
      <c r="I91" s="336"/>
      <c r="J91" s="336"/>
      <c r="K91" s="336"/>
      <c r="L91" s="336"/>
      <c r="M91" s="336"/>
      <c r="N91" s="49"/>
      <c r="O91" s="34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</row>
    <row r="92" spans="1:81" s="37" customFormat="1" ht="15" customHeight="1" outlineLevel="1">
      <c r="A92" s="46"/>
      <c r="B92" s="255" t="s">
        <v>288</v>
      </c>
      <c r="C92" s="255"/>
      <c r="D92" s="27"/>
      <c r="E92" s="27"/>
      <c r="F92" s="265">
        <v>29965</v>
      </c>
      <c r="G92" s="265">
        <v>29943</v>
      </c>
      <c r="H92" s="265">
        <v>35934</v>
      </c>
      <c r="I92" s="336">
        <f ca="1">I81</f>
        <v>38148.873050809198</v>
      </c>
      <c r="J92" s="336">
        <f t="shared" ref="J92:M92" ca="1" si="40">J81</f>
        <v>52946.267706460552</v>
      </c>
      <c r="K92" s="336">
        <f t="shared" ca="1" si="40"/>
        <v>71936.624550708279</v>
      </c>
      <c r="L92" s="336">
        <f t="shared" ca="1" si="40"/>
        <v>94527.666043377918</v>
      </c>
      <c r="M92" s="336">
        <f t="shared" ca="1" si="40"/>
        <v>124237.4948087394</v>
      </c>
      <c r="N92" s="49"/>
      <c r="O92" s="34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</row>
    <row r="93" spans="1:81" s="46" customFormat="1" ht="15" customHeight="1" outlineLevel="1">
      <c r="B93" s="255" t="s">
        <v>301</v>
      </c>
      <c r="C93" s="255"/>
      <c r="D93" s="27"/>
      <c r="E93" s="27"/>
      <c r="F93" s="265">
        <v>31590</v>
      </c>
      <c r="G93" s="265">
        <v>35228</v>
      </c>
      <c r="H93" s="265">
        <v>18763</v>
      </c>
      <c r="I93" s="336">
        <f>H93</f>
        <v>18763</v>
      </c>
      <c r="J93" s="336">
        <f t="shared" ref="J93:M93" si="41">I93</f>
        <v>18763</v>
      </c>
      <c r="K93" s="336">
        <f t="shared" si="41"/>
        <v>18763</v>
      </c>
      <c r="L93" s="336">
        <f t="shared" si="41"/>
        <v>18763</v>
      </c>
      <c r="M93" s="336">
        <f t="shared" si="41"/>
        <v>18763</v>
      </c>
      <c r="N93" s="49"/>
      <c r="O93" s="34"/>
      <c r="P93" s="37"/>
    </row>
    <row r="94" spans="1:81" s="46" customFormat="1" ht="15" customHeight="1" outlineLevel="1">
      <c r="B94" s="255" t="s">
        <v>96</v>
      </c>
      <c r="C94" s="255"/>
      <c r="D94" s="27"/>
      <c r="E94" s="27"/>
      <c r="F94" s="265">
        <v>29508</v>
      </c>
      <c r="G94" s="265">
        <v>33410</v>
      </c>
      <c r="H94" s="265">
        <v>39777</v>
      </c>
      <c r="I94" s="336">
        <f t="shared" ref="I94:M96" si="42">I249</f>
        <v>42662.354526631854</v>
      </c>
      <c r="J94" s="336">
        <f t="shared" si="42"/>
        <v>44687.963119556342</v>
      </c>
      <c r="K94" s="336">
        <f t="shared" si="42"/>
        <v>46129.37336997762</v>
      </c>
      <c r="L94" s="336">
        <f t="shared" si="42"/>
        <v>47336.117777336229</v>
      </c>
      <c r="M94" s="336">
        <f t="shared" si="42"/>
        <v>48574.43061839135</v>
      </c>
      <c r="N94" s="49"/>
      <c r="O94" s="34"/>
      <c r="P94" s="37"/>
    </row>
    <row r="95" spans="1:81" s="46" customFormat="1" ht="15" customHeight="1" outlineLevel="1">
      <c r="A95" s="37"/>
      <c r="B95" s="255" t="s">
        <v>267</v>
      </c>
      <c r="C95" s="255"/>
      <c r="D95" s="27"/>
      <c r="E95" s="27"/>
      <c r="F95" s="265">
        <v>31477</v>
      </c>
      <c r="G95" s="265">
        <v>32833</v>
      </c>
      <c r="H95" s="265">
        <v>33180</v>
      </c>
      <c r="I95" s="336">
        <f t="shared" si="42"/>
        <v>36567.732451398733</v>
      </c>
      <c r="J95" s="336">
        <f t="shared" si="42"/>
        <v>38303.968388191148</v>
      </c>
      <c r="K95" s="336">
        <f t="shared" si="42"/>
        <v>39539.462888552247</v>
      </c>
      <c r="L95" s="336">
        <f t="shared" si="42"/>
        <v>40573.815237716764</v>
      </c>
      <c r="M95" s="336">
        <f t="shared" si="42"/>
        <v>41635.226244335441</v>
      </c>
      <c r="N95" s="49"/>
      <c r="O95" s="34"/>
      <c r="P95" s="37"/>
    </row>
    <row r="96" spans="1:81" ht="15" customHeight="1" outlineLevel="1">
      <c r="A96" s="37"/>
      <c r="B96" s="255" t="s">
        <v>289</v>
      </c>
      <c r="C96" s="255"/>
      <c r="F96" s="265">
        <v>6331</v>
      </c>
      <c r="G96" s="265">
        <v>7286</v>
      </c>
      <c r="H96" s="265">
        <v>5718</v>
      </c>
      <c r="I96" s="336">
        <f t="shared" si="42"/>
        <v>6446.2464306996308</v>
      </c>
      <c r="J96" s="336">
        <f t="shared" si="42"/>
        <v>6804.1144778351654</v>
      </c>
      <c r="K96" s="336">
        <f t="shared" si="42"/>
        <v>7070.9368902357828</v>
      </c>
      <c r="L96" s="336">
        <f t="shared" si="42"/>
        <v>7334.4239257239506</v>
      </c>
      <c r="M96" s="336">
        <f t="shared" si="42"/>
        <v>7600.4027930299717</v>
      </c>
      <c r="N96" s="49"/>
      <c r="O96" s="34"/>
      <c r="P96" s="37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</row>
    <row r="97" spans="1:81" s="46" customFormat="1" ht="15" customHeight="1" outlineLevel="1">
      <c r="A97" s="37"/>
      <c r="B97" s="255" t="s">
        <v>311</v>
      </c>
      <c r="C97" s="255"/>
      <c r="D97" s="27"/>
      <c r="E97" s="27"/>
      <c r="F97" s="271">
        <v>14695</v>
      </c>
      <c r="G97" s="271">
        <v>14287</v>
      </c>
      <c r="H97" s="271">
        <v>14585</v>
      </c>
      <c r="I97" s="447">
        <f>I252</f>
        <v>14935.04</v>
      </c>
      <c r="J97" s="447">
        <f t="shared" ref="J97:M97" si="43">J252</f>
        <v>15308.415999999999</v>
      </c>
      <c r="K97" s="447">
        <f t="shared" si="43"/>
        <v>15660.509567999998</v>
      </c>
      <c r="L97" s="447">
        <f t="shared" si="43"/>
        <v>16005.040778495997</v>
      </c>
      <c r="M97" s="447">
        <f t="shared" si="43"/>
        <v>16341.146634844412</v>
      </c>
      <c r="N97" s="49"/>
      <c r="O97" s="34"/>
      <c r="P97" s="37"/>
    </row>
    <row r="98" spans="1:81" ht="15" customHeight="1" outlineLevel="1">
      <c r="A98" s="37"/>
      <c r="B98" s="255" t="s">
        <v>290</v>
      </c>
      <c r="C98" s="255"/>
      <c r="F98" s="335">
        <f>SUM(F92:F97)</f>
        <v>143566</v>
      </c>
      <c r="G98" s="335">
        <f t="shared" ref="G98:M98" si="44">SUM(G92:G97)</f>
        <v>152987</v>
      </c>
      <c r="H98" s="335">
        <f>SUM(H92:H97)</f>
        <v>147957</v>
      </c>
      <c r="I98" s="335">
        <f ca="1">SUM(I92:I97)</f>
        <v>157523.24645953943</v>
      </c>
      <c r="J98" s="335">
        <f ca="1">SUM(J92:J97)</f>
        <v>176813.72969204321</v>
      </c>
      <c r="K98" s="335">
        <f t="shared" ca="1" si="44"/>
        <v>199099.90726747396</v>
      </c>
      <c r="L98" s="335">
        <f t="shared" ca="1" si="44"/>
        <v>224540.06376265088</v>
      </c>
      <c r="M98" s="335">
        <f t="shared" ca="1" si="44"/>
        <v>257151.70109934057</v>
      </c>
      <c r="N98" s="49"/>
      <c r="O98" s="34"/>
      <c r="P98" s="37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</row>
    <row r="99" spans="1:81" ht="15" customHeight="1" outlineLevel="1">
      <c r="A99" s="37"/>
      <c r="B99" s="426"/>
      <c r="C99" s="426"/>
      <c r="F99" s="265"/>
      <c r="G99" s="265"/>
      <c r="H99" s="265"/>
      <c r="I99" s="336"/>
      <c r="J99" s="336"/>
      <c r="K99" s="336"/>
      <c r="L99" s="336"/>
      <c r="M99" s="336"/>
      <c r="N99" s="49"/>
      <c r="O99" s="34"/>
      <c r="P99" s="37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</row>
    <row r="100" spans="1:81" s="46" customFormat="1" ht="15" customHeight="1" outlineLevel="1">
      <c r="A100" s="37"/>
      <c r="B100" s="255" t="s">
        <v>302</v>
      </c>
      <c r="C100" s="255"/>
      <c r="D100" s="27"/>
      <c r="E100" s="27"/>
      <c r="F100" s="265">
        <v>100544</v>
      </c>
      <c r="G100" s="265">
        <v>91479</v>
      </c>
      <c r="H100" s="265">
        <v>77723</v>
      </c>
      <c r="I100" s="336">
        <f>H100</f>
        <v>77723</v>
      </c>
      <c r="J100" s="336">
        <f t="shared" ref="J100:M100" si="45">I100</f>
        <v>77723</v>
      </c>
      <c r="K100" s="336">
        <f t="shared" si="45"/>
        <v>77723</v>
      </c>
      <c r="L100" s="336">
        <f t="shared" si="45"/>
        <v>77723</v>
      </c>
      <c r="M100" s="336">
        <f t="shared" si="45"/>
        <v>77723</v>
      </c>
      <c r="N100" s="49"/>
      <c r="O100" s="34"/>
      <c r="P100" s="37"/>
    </row>
    <row r="101" spans="1:81" s="46" customFormat="1" ht="15" customHeight="1" outlineLevel="1">
      <c r="A101" s="37"/>
      <c r="B101" s="255" t="s">
        <v>47</v>
      </c>
      <c r="C101" s="255"/>
      <c r="D101" s="27"/>
      <c r="E101" s="27"/>
      <c r="F101" s="265">
        <v>43715</v>
      </c>
      <c r="G101" s="265">
        <v>45680</v>
      </c>
      <c r="H101" s="265">
        <v>49834</v>
      </c>
      <c r="I101" s="336">
        <f>I342</f>
        <v>53331.485714285714</v>
      </c>
      <c r="J101" s="336">
        <f t="shared" ref="J101:M101" si="46">J342</f>
        <v>55407.542857142864</v>
      </c>
      <c r="K101" s="336">
        <f t="shared" si="46"/>
        <v>55869.314285714296</v>
      </c>
      <c r="L101" s="336">
        <f t="shared" si="46"/>
        <v>54723.942857142873</v>
      </c>
      <c r="M101" s="336">
        <f t="shared" si="46"/>
        <v>51871.428571428587</v>
      </c>
      <c r="N101" s="49"/>
      <c r="O101" s="34"/>
      <c r="P101" s="37"/>
    </row>
    <row r="102" spans="1:81" s="46" customFormat="1" ht="15" customHeight="1" outlineLevel="1">
      <c r="A102" s="37"/>
      <c r="B102" s="255" t="s">
        <v>312</v>
      </c>
      <c r="C102" s="255"/>
      <c r="D102" s="535"/>
      <c r="E102" s="27"/>
      <c r="F102" s="265">
        <v>64758</v>
      </c>
      <c r="G102" s="265">
        <v>74834</v>
      </c>
      <c r="H102" s="265">
        <v>83727</v>
      </c>
      <c r="I102" s="336">
        <f>I253</f>
        <v>85736.448000000004</v>
      </c>
      <c r="J102" s="336">
        <f>J253</f>
        <v>87879.859199999992</v>
      </c>
      <c r="K102" s="336">
        <f>K253</f>
        <v>89901.095961599989</v>
      </c>
      <c r="L102" s="336">
        <f>L253</f>
        <v>91878.920072755194</v>
      </c>
      <c r="M102" s="336">
        <f>M253</f>
        <v>93808.377394283045</v>
      </c>
      <c r="N102" s="49"/>
      <c r="O102" s="34"/>
      <c r="P102" s="37"/>
    </row>
    <row r="103" spans="1:81" s="37" customFormat="1" ht="15" customHeight="1" outlineLevel="1">
      <c r="B103" s="255"/>
      <c r="C103" s="255"/>
      <c r="D103" s="535"/>
      <c r="E103" s="27"/>
      <c r="F103" s="271"/>
      <c r="G103" s="271"/>
      <c r="H103" s="271"/>
      <c r="I103" s="447"/>
      <c r="J103" s="447"/>
      <c r="K103" s="447"/>
      <c r="L103" s="447"/>
      <c r="M103" s="447"/>
      <c r="N103" s="49"/>
      <c r="O103" s="34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</row>
    <row r="104" spans="1:81" s="37" customFormat="1" ht="15" customHeight="1" outlineLevel="1">
      <c r="B104" s="255" t="s">
        <v>291</v>
      </c>
      <c r="C104" s="426"/>
      <c r="D104" s="27"/>
      <c r="E104" s="27"/>
      <c r="F104" s="450">
        <f>SUM(F98:F102)</f>
        <v>352583</v>
      </c>
      <c r="G104" s="450">
        <f t="shared" ref="G104:L104" si="47">SUM(G98:G102)</f>
        <v>364980</v>
      </c>
      <c r="H104" s="450">
        <f>SUM(H98:H102)</f>
        <v>359241</v>
      </c>
      <c r="I104" s="450">
        <f ca="1">SUM(I98:I102)</f>
        <v>374314.18017382512</v>
      </c>
      <c r="J104" s="450">
        <f t="shared" ca="1" si="47"/>
        <v>397824.13174918608</v>
      </c>
      <c r="K104" s="450">
        <f t="shared" ca="1" si="47"/>
        <v>422593.31751478824</v>
      </c>
      <c r="L104" s="450">
        <f t="shared" ca="1" si="47"/>
        <v>448865.92669254896</v>
      </c>
      <c r="M104" s="450">
        <f ca="1">SUM(M98:M102)</f>
        <v>480554.50706505217</v>
      </c>
      <c r="N104" s="49"/>
      <c r="O104" s="34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</row>
    <row r="105" spans="1:81" s="37" customFormat="1" ht="15" customHeight="1" outlineLevel="1">
      <c r="B105" s="255"/>
      <c r="C105" s="112"/>
      <c r="D105" s="112"/>
      <c r="E105" s="112"/>
      <c r="F105" s="450"/>
      <c r="G105" s="450"/>
      <c r="H105" s="450"/>
      <c r="I105" s="335"/>
      <c r="J105" s="335"/>
      <c r="K105" s="335"/>
      <c r="L105" s="335"/>
      <c r="M105" s="335"/>
      <c r="N105" s="49"/>
      <c r="O105" s="34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</row>
    <row r="106" spans="1:81" s="37" customFormat="1" ht="15" customHeight="1" outlineLevel="1">
      <c r="B106" s="255"/>
      <c r="C106" s="357"/>
      <c r="D106" s="112"/>
      <c r="E106" s="112"/>
      <c r="F106" s="450"/>
      <c r="G106" s="450"/>
      <c r="H106" s="450"/>
      <c r="I106" s="335"/>
      <c r="J106" s="335"/>
      <c r="K106" s="335"/>
      <c r="L106" s="335"/>
      <c r="M106" s="335"/>
      <c r="N106" s="49"/>
      <c r="O106" s="34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</row>
    <row r="107" spans="1:81" s="37" customFormat="1" ht="15" customHeight="1" outlineLevel="1">
      <c r="B107" s="357" t="s">
        <v>292</v>
      </c>
      <c r="C107" s="357"/>
      <c r="D107" s="112"/>
      <c r="E107" s="112"/>
      <c r="F107" s="450"/>
      <c r="G107" s="450"/>
      <c r="H107" s="450"/>
      <c r="I107" s="335"/>
      <c r="J107" s="335"/>
      <c r="K107" s="335"/>
      <c r="L107" s="335"/>
      <c r="M107" s="335"/>
      <c r="N107" s="49"/>
      <c r="O107" s="34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</row>
    <row r="108" spans="1:81" s="37" customFormat="1" ht="15" customHeight="1" outlineLevel="1">
      <c r="B108" s="111"/>
      <c r="C108" s="112"/>
      <c r="D108" s="112"/>
      <c r="E108" s="112"/>
      <c r="F108" s="335"/>
      <c r="G108" s="335"/>
      <c r="H108" s="335"/>
      <c r="I108" s="335"/>
      <c r="J108" s="335"/>
      <c r="K108" s="335"/>
      <c r="L108" s="335"/>
      <c r="M108" s="335"/>
      <c r="N108" s="49"/>
      <c r="O108" s="34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</row>
    <row r="109" spans="1:81" s="37" customFormat="1" ht="15" customHeight="1" outlineLevel="1">
      <c r="B109" s="255" t="s">
        <v>94</v>
      </c>
      <c r="C109" s="112"/>
      <c r="D109" s="112"/>
      <c r="E109" s="112"/>
      <c r="F109" s="265">
        <v>62611</v>
      </c>
      <c r="G109" s="265">
        <v>68960</v>
      </c>
      <c r="H109" s="265">
        <v>69860</v>
      </c>
      <c r="I109" s="336">
        <f>I256</f>
        <v>74131.83395304576</v>
      </c>
      <c r="J109" s="336">
        <f>J256</f>
        <v>78247.316495104402</v>
      </c>
      <c r="K109" s="336">
        <f>K256</f>
        <v>81315.774237711506</v>
      </c>
      <c r="L109" s="336">
        <f>L256</f>
        <v>84345.875145825426</v>
      </c>
      <c r="M109" s="336">
        <f>M256</f>
        <v>87404.632119844682</v>
      </c>
      <c r="N109" s="49"/>
      <c r="O109" s="34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</row>
    <row r="110" spans="1:81" s="37" customFormat="1" ht="15" customHeight="1" outlineLevel="1">
      <c r="B110" s="255" t="s">
        <v>303</v>
      </c>
      <c r="D110" s="112"/>
      <c r="E110" s="112"/>
      <c r="F110" s="265">
        <v>5985</v>
      </c>
      <c r="G110" s="265">
        <v>9967</v>
      </c>
      <c r="H110" s="265">
        <v>7979</v>
      </c>
      <c r="I110" s="336">
        <f>I493</f>
        <v>7979</v>
      </c>
      <c r="J110" s="336">
        <f t="shared" ref="J110:M110" si="48">J493</f>
        <v>7979</v>
      </c>
      <c r="K110" s="336">
        <f t="shared" si="48"/>
        <v>7979</v>
      </c>
      <c r="L110" s="336">
        <f t="shared" si="48"/>
        <v>7979</v>
      </c>
      <c r="M110" s="336">
        <f t="shared" si="48"/>
        <v>7979</v>
      </c>
      <c r="N110" s="49"/>
      <c r="O110" s="34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</row>
    <row r="111" spans="1:81" s="37" customFormat="1" ht="15" customHeight="1" outlineLevel="1">
      <c r="B111" s="536" t="s">
        <v>304</v>
      </c>
      <c r="C111" s="357"/>
      <c r="D111" s="112"/>
      <c r="E111" s="112"/>
      <c r="F111" s="265">
        <v>8061</v>
      </c>
      <c r="G111" s="265">
        <v>8249</v>
      </c>
      <c r="H111" s="265">
        <v>9055</v>
      </c>
      <c r="I111" s="336">
        <f>I13*Inputs!$L$121</f>
        <v>9343.0556413323775</v>
      </c>
      <c r="J111" s="336">
        <f>J13*Inputs!$L$121</f>
        <v>9786.6639231828394</v>
      </c>
      <c r="K111" s="336">
        <f>K13*Inputs!$L$121</f>
        <v>10102.3327680251</v>
      </c>
      <c r="L111" s="336">
        <f>L13*Inputs!$L$121</f>
        <v>10366.609793236636</v>
      </c>
      <c r="M111" s="336">
        <f>M13*Inputs!$L$121</f>
        <v>10637.800305427707</v>
      </c>
      <c r="N111" s="49"/>
      <c r="O111" s="34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</row>
    <row r="112" spans="1:81" s="37" customFormat="1" ht="15" customHeight="1" outlineLevel="1">
      <c r="B112" s="536" t="s">
        <v>315</v>
      </c>
      <c r="C112" s="357"/>
      <c r="D112" s="112"/>
      <c r="E112" s="112"/>
      <c r="F112" s="265">
        <v>9822</v>
      </c>
      <c r="G112" s="265">
        <v>10912</v>
      </c>
      <c r="H112" s="265">
        <v>12350</v>
      </c>
      <c r="I112" s="336">
        <f>-J462</f>
        <v>9350</v>
      </c>
      <c r="J112" s="336">
        <f t="shared" ref="J112:M112" si="49">-K462</f>
        <v>10500</v>
      </c>
      <c r="K112" s="336">
        <f t="shared" si="49"/>
        <v>11250</v>
      </c>
      <c r="L112" s="336">
        <f t="shared" si="49"/>
        <v>8500</v>
      </c>
      <c r="M112" s="336">
        <f t="shared" si="49"/>
        <v>0</v>
      </c>
      <c r="N112" s="49"/>
      <c r="O112" s="34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</row>
    <row r="113" spans="1:81" s="37" customFormat="1" ht="15" customHeight="1" outlineLevel="1">
      <c r="B113" s="536" t="s">
        <v>314</v>
      </c>
      <c r="C113" s="357"/>
      <c r="D113" s="112"/>
      <c r="E113" s="112"/>
      <c r="F113" s="265">
        <v>58829</v>
      </c>
      <c r="G113" s="265">
        <v>78304</v>
      </c>
      <c r="H113" s="265">
        <v>66387</v>
      </c>
      <c r="I113" s="336">
        <f>I254</f>
        <v>67980.288</v>
      </c>
      <c r="J113" s="336">
        <f>J254</f>
        <v>69679.795199999993</v>
      </c>
      <c r="K113" s="336">
        <f>K254</f>
        <v>71282.430489599981</v>
      </c>
      <c r="L113" s="336">
        <f>L254</f>
        <v>72850.643960371177</v>
      </c>
      <c r="M113" s="336">
        <f>M254</f>
        <v>74380.507483538968</v>
      </c>
      <c r="N113" s="49"/>
      <c r="O113" s="34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</row>
    <row r="114" spans="1:81" s="37" customFormat="1" ht="15" customHeight="1" outlineLevel="1">
      <c r="B114" s="536" t="s">
        <v>354</v>
      </c>
      <c r="C114" s="357"/>
      <c r="D114" s="112"/>
      <c r="E114" s="112"/>
      <c r="F114" s="271">
        <f>E114+F47</f>
        <v>-848</v>
      </c>
      <c r="G114" s="271">
        <f t="shared" ref="G114:M114" si="50">F114+G47</f>
        <v>-3963</v>
      </c>
      <c r="H114" s="271">
        <f t="shared" si="50"/>
        <v>-1496</v>
      </c>
      <c r="I114" s="271">
        <f t="shared" ca="1" si="50"/>
        <v>-1097.7089828571443</v>
      </c>
      <c r="J114" s="271">
        <f t="shared" ca="1" si="50"/>
        <v>-622.62225142857278</v>
      </c>
      <c r="K114" s="271">
        <f t="shared" ca="1" si="50"/>
        <v>-67.378377142857062</v>
      </c>
      <c r="L114" s="271">
        <f t="shared" ca="1" si="50"/>
        <v>571.38406857142763</v>
      </c>
      <c r="M114" s="271">
        <f t="shared" ca="1" si="50"/>
        <v>1297.2850857142839</v>
      </c>
      <c r="N114" s="49"/>
      <c r="O114" s="34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</row>
    <row r="115" spans="1:81" s="37" customFormat="1" ht="15" customHeight="1" outlineLevel="1">
      <c r="B115" s="255" t="s">
        <v>293</v>
      </c>
      <c r="C115" s="357"/>
      <c r="D115" s="112"/>
      <c r="E115" s="112"/>
      <c r="F115" s="450">
        <f>SUM(F109:F114)</f>
        <v>144460</v>
      </c>
      <c r="G115" s="450">
        <f>SUM(G109:G114)</f>
        <v>172429</v>
      </c>
      <c r="H115" s="450">
        <f t="shared" ref="H115:M115" si="51">SUM(H109:H114)</f>
        <v>164135</v>
      </c>
      <c r="I115" s="450">
        <f ca="1">SUM(I109:I114)</f>
        <v>167686.46861152098</v>
      </c>
      <c r="J115" s="450">
        <f t="shared" ca="1" si="51"/>
        <v>175570.15336685866</v>
      </c>
      <c r="K115" s="450">
        <f t="shared" ca="1" si="51"/>
        <v>181862.15911819373</v>
      </c>
      <c r="L115" s="450">
        <f t="shared" ca="1" si="51"/>
        <v>184613.51296800468</v>
      </c>
      <c r="M115" s="450">
        <f t="shared" ca="1" si="51"/>
        <v>181699.22499452563</v>
      </c>
      <c r="N115" s="49"/>
      <c r="O115" s="34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</row>
    <row r="116" spans="1:81" s="37" customFormat="1" ht="15" customHeight="1" outlineLevel="1">
      <c r="B116" s="255"/>
      <c r="C116" s="357"/>
      <c r="D116" s="112"/>
      <c r="E116" s="112"/>
      <c r="F116" s="265"/>
      <c r="G116" s="265"/>
      <c r="H116" s="265"/>
      <c r="I116" s="335"/>
      <c r="J116" s="335"/>
      <c r="K116" s="335"/>
      <c r="L116" s="335"/>
      <c r="M116" s="335"/>
      <c r="N116" s="49"/>
      <c r="O116" s="34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</row>
    <row r="117" spans="1:81" s="37" customFormat="1" ht="15" customHeight="1" outlineLevel="1">
      <c r="B117" s="536" t="s">
        <v>305</v>
      </c>
      <c r="C117" s="357"/>
      <c r="D117" s="112"/>
      <c r="E117" s="112"/>
      <c r="F117" s="265">
        <v>95281</v>
      </c>
      <c r="G117" s="265">
        <v>85750</v>
      </c>
      <c r="H117" s="265">
        <v>78328</v>
      </c>
      <c r="I117" s="336">
        <f>I463-I112</f>
        <v>68978</v>
      </c>
      <c r="J117" s="336">
        <f>J463-J112</f>
        <v>58478</v>
      </c>
      <c r="K117" s="336">
        <f>K463-K112</f>
        <v>47228</v>
      </c>
      <c r="L117" s="336">
        <f>L463-L112</f>
        <v>38728</v>
      </c>
      <c r="M117" s="336">
        <f>M463-M112</f>
        <v>38728</v>
      </c>
      <c r="N117" s="49"/>
      <c r="O117" s="34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</row>
    <row r="118" spans="1:81" s="37" customFormat="1" ht="15" customHeight="1" outlineLevel="1">
      <c r="B118" s="255" t="s">
        <v>340</v>
      </c>
      <c r="C118" s="357"/>
      <c r="D118" s="112"/>
      <c r="E118" s="112"/>
      <c r="F118" s="271">
        <v>50696</v>
      </c>
      <c r="G118" s="271">
        <v>49851</v>
      </c>
      <c r="H118" s="271">
        <v>43045</v>
      </c>
      <c r="I118" s="447">
        <f>I255</f>
        <v>44078.080000000002</v>
      </c>
      <c r="J118" s="447">
        <f t="shared" ref="J118:M118" si="52">J255</f>
        <v>45180.031999999999</v>
      </c>
      <c r="K118" s="447">
        <f t="shared" si="52"/>
        <v>46219.172735999993</v>
      </c>
      <c r="L118" s="447">
        <f t="shared" si="52"/>
        <v>47235.994536191996</v>
      </c>
      <c r="M118" s="447">
        <f t="shared" si="52"/>
        <v>48227.95042145202</v>
      </c>
      <c r="N118" s="49"/>
      <c r="O118" s="27"/>
      <c r="P118" s="27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</row>
    <row r="119" spans="1:81" s="37" customFormat="1" ht="15" customHeight="1" outlineLevel="1">
      <c r="B119" s="255" t="s">
        <v>294</v>
      </c>
      <c r="C119" s="357"/>
      <c r="D119" s="112"/>
      <c r="E119" s="112"/>
      <c r="F119" s="450">
        <f>SUM(F115:F118)</f>
        <v>290437</v>
      </c>
      <c r="G119" s="450">
        <f t="shared" ref="G119:M119" si="53">SUM(G115:G118)</f>
        <v>308030</v>
      </c>
      <c r="H119" s="450">
        <f>SUM(H115:H118)</f>
        <v>285508</v>
      </c>
      <c r="I119" s="450">
        <f ca="1">SUM(I115:I118)</f>
        <v>280742.54861152096</v>
      </c>
      <c r="J119" s="450">
        <f ca="1">SUM(J115:J118)</f>
        <v>279228.18536685867</v>
      </c>
      <c r="K119" s="450">
        <f t="shared" ca="1" si="53"/>
        <v>275309.3318541937</v>
      </c>
      <c r="L119" s="450">
        <f t="shared" ca="1" si="53"/>
        <v>270577.50750419666</v>
      </c>
      <c r="M119" s="450">
        <f t="shared" ca="1" si="53"/>
        <v>268655.17541597766</v>
      </c>
      <c r="N119" s="49"/>
      <c r="O119" s="27"/>
      <c r="P119" s="27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</row>
    <row r="120" spans="1:81" s="37" customFormat="1" ht="15" customHeight="1" outlineLevel="1">
      <c r="B120" s="111"/>
      <c r="C120" s="112"/>
      <c r="D120" s="112"/>
      <c r="E120" s="112"/>
      <c r="F120" s="265"/>
      <c r="G120" s="265"/>
      <c r="H120" s="265"/>
      <c r="I120" s="336"/>
      <c r="J120" s="336"/>
      <c r="K120" s="336"/>
      <c r="L120" s="336"/>
      <c r="M120" s="336"/>
      <c r="N120" s="49"/>
      <c r="O120" s="27"/>
      <c r="P120" s="27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</row>
    <row r="121" spans="1:81" s="37" customFormat="1" ht="15" customHeight="1" outlineLevel="1">
      <c r="B121" s="357"/>
      <c r="C121" s="112"/>
      <c r="D121" s="112"/>
      <c r="E121" s="112"/>
      <c r="F121" s="265"/>
      <c r="G121" s="265"/>
      <c r="H121" s="265"/>
      <c r="I121" s="335"/>
      <c r="J121" s="335"/>
      <c r="K121" s="335"/>
      <c r="L121" s="335"/>
      <c r="M121" s="335"/>
      <c r="N121" s="49"/>
      <c r="O121" s="27"/>
      <c r="P121" s="27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</row>
    <row r="122" spans="1:81" s="37" customFormat="1" ht="15" customHeight="1" outlineLevel="1">
      <c r="B122" s="357" t="s">
        <v>295</v>
      </c>
      <c r="C122" s="112"/>
      <c r="D122" s="112"/>
      <c r="E122" s="112"/>
      <c r="F122" s="265"/>
      <c r="G122" s="265"/>
      <c r="H122" s="265"/>
      <c r="I122" s="335"/>
      <c r="J122" s="335"/>
      <c r="K122" s="335"/>
      <c r="L122" s="335"/>
      <c r="M122" s="335"/>
      <c r="N122" s="49"/>
      <c r="O122" s="27"/>
      <c r="P122" s="27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</row>
    <row r="123" spans="1:81" s="37" customFormat="1" ht="15" customHeight="1" outlineLevel="1">
      <c r="B123" s="255"/>
      <c r="C123" s="112"/>
      <c r="D123" s="112"/>
      <c r="E123" s="112"/>
      <c r="F123" s="265"/>
      <c r="G123" s="265"/>
      <c r="H123" s="265"/>
      <c r="I123" s="335"/>
      <c r="J123" s="335"/>
      <c r="K123" s="335"/>
      <c r="L123" s="335"/>
      <c r="M123" s="335"/>
      <c r="N123" s="49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</row>
    <row r="124" spans="1:81" s="37" customFormat="1" ht="15" customHeight="1" outlineLevel="1">
      <c r="A124" s="27"/>
      <c r="B124" s="255" t="s">
        <v>260</v>
      </c>
      <c r="C124" s="357"/>
      <c r="D124" s="112"/>
      <c r="E124" s="112"/>
      <c r="F124" s="265">
        <v>73812</v>
      </c>
      <c r="G124" s="265">
        <v>83276</v>
      </c>
      <c r="H124" s="265">
        <v>93568</v>
      </c>
      <c r="I124" s="335">
        <f>I517</f>
        <v>104636.4274348679</v>
      </c>
      <c r="J124" s="335">
        <f t="shared" ref="J124:M124" si="54">J517</f>
        <v>116483.07120232313</v>
      </c>
      <c r="K124" s="335">
        <f t="shared" si="54"/>
        <v>128913.86674490565</v>
      </c>
      <c r="L124" s="335">
        <f t="shared" si="54"/>
        <v>141911.61071511169</v>
      </c>
      <c r="M124" s="335">
        <f t="shared" si="54"/>
        <v>155481.45264708481</v>
      </c>
      <c r="N124" s="49"/>
      <c r="O124" s="27"/>
      <c r="P124" s="27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</row>
    <row r="125" spans="1:81" s="37" customFormat="1" ht="15" customHeight="1" outlineLevel="1">
      <c r="A125" s="27"/>
      <c r="B125" s="255" t="s">
        <v>296</v>
      </c>
      <c r="C125" s="357"/>
      <c r="D125" s="112"/>
      <c r="E125" s="112"/>
      <c r="F125" s="265">
        <v>0</v>
      </c>
      <c r="G125" s="265">
        <v>0</v>
      </c>
      <c r="H125" s="265">
        <v>0</v>
      </c>
      <c r="I125" s="335">
        <v>0</v>
      </c>
      <c r="J125" s="335">
        <v>0</v>
      </c>
      <c r="K125" s="335">
        <v>0</v>
      </c>
      <c r="L125" s="335">
        <v>0</v>
      </c>
      <c r="M125" s="335">
        <v>0</v>
      </c>
      <c r="N125" s="49"/>
      <c r="O125" s="27"/>
      <c r="P125" s="27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</row>
    <row r="126" spans="1:81" s="37" customFormat="1" ht="15" customHeight="1" outlineLevel="1">
      <c r="B126" s="536" t="s">
        <v>306</v>
      </c>
      <c r="F126" s="265">
        <v>-214</v>
      </c>
      <c r="G126" s="265">
        <v>-19154</v>
      </c>
      <c r="H126" s="265">
        <v>-14264</v>
      </c>
      <c r="I126" s="335">
        <f ca="1">I533</f>
        <v>-5493.7958725637727</v>
      </c>
      <c r="J126" s="335">
        <f t="shared" ref="J126:M126" ca="1" si="55">J533</f>
        <v>7683.8751800042519</v>
      </c>
      <c r="K126" s="335">
        <f t="shared" ca="1" si="55"/>
        <v>23941.118915688814</v>
      </c>
      <c r="L126" s="335">
        <f t="shared" ca="1" si="55"/>
        <v>41947.808473240526</v>
      </c>
      <c r="M126" s="335">
        <f t="shared" ca="1" si="55"/>
        <v>61988.879001989699</v>
      </c>
      <c r="N126" s="49"/>
      <c r="O126" s="27"/>
      <c r="P126" s="27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</row>
    <row r="127" spans="1:81" s="46" customFormat="1" ht="15" customHeight="1" outlineLevel="1">
      <c r="A127" s="37"/>
      <c r="B127" s="255" t="s">
        <v>297</v>
      </c>
      <c r="C127" s="37"/>
      <c r="D127" s="37"/>
      <c r="E127" s="37"/>
      <c r="F127" s="271">
        <v>-11452</v>
      </c>
      <c r="G127" s="271">
        <v>-7172</v>
      </c>
      <c r="H127" s="271">
        <v>-5571</v>
      </c>
      <c r="I127" s="447">
        <v>-5571</v>
      </c>
      <c r="J127" s="447">
        <v>-5571</v>
      </c>
      <c r="K127" s="447">
        <v>-5571</v>
      </c>
      <c r="L127" s="447">
        <v>-5571</v>
      </c>
      <c r="M127" s="447">
        <v>-5571</v>
      </c>
      <c r="N127" s="49"/>
      <c r="O127" s="37"/>
      <c r="P127" s="37"/>
    </row>
    <row r="128" spans="1:81" s="46" customFormat="1" ht="15" customHeight="1" outlineLevel="1">
      <c r="A128" s="37"/>
      <c r="B128" s="255" t="s">
        <v>298</v>
      </c>
      <c r="C128" s="37"/>
      <c r="D128" s="37"/>
      <c r="E128" s="37"/>
      <c r="F128" s="335">
        <f>SUM(F124:F127)</f>
        <v>62146</v>
      </c>
      <c r="G128" s="335">
        <f t="shared" ref="G128:M128" si="56">SUM(G124:G127)</f>
        <v>56950</v>
      </c>
      <c r="H128" s="335">
        <f>SUM(H124:H127)</f>
        <v>73733</v>
      </c>
      <c r="I128" s="335">
        <f t="shared" ca="1" si="56"/>
        <v>93571.63156230413</v>
      </c>
      <c r="J128" s="335">
        <f ca="1">SUM(J124:J127)</f>
        <v>118595.94638232738</v>
      </c>
      <c r="K128" s="335">
        <f t="shared" ca="1" si="56"/>
        <v>147283.98566059448</v>
      </c>
      <c r="L128" s="335">
        <f t="shared" ca="1" si="56"/>
        <v>178288.41918835221</v>
      </c>
      <c r="M128" s="335">
        <f t="shared" ca="1" si="56"/>
        <v>211899.33164907451</v>
      </c>
      <c r="N128" s="49"/>
      <c r="O128" s="37"/>
      <c r="P128" s="37"/>
    </row>
    <row r="129" spans="1:81" s="46" customFormat="1" ht="15" customHeight="1" outlineLevel="1">
      <c r="A129" s="37"/>
      <c r="B129" s="37"/>
      <c r="C129" s="37"/>
      <c r="D129" s="37"/>
      <c r="E129" s="37"/>
      <c r="F129" s="265"/>
      <c r="G129" s="265"/>
      <c r="H129" s="265"/>
      <c r="I129" s="335"/>
      <c r="J129" s="335"/>
      <c r="K129" s="335"/>
      <c r="L129" s="335"/>
      <c r="M129" s="335"/>
      <c r="N129" s="49"/>
      <c r="O129" s="27"/>
      <c r="P129" s="27"/>
    </row>
    <row r="130" spans="1:81" ht="15" customHeight="1" outlineLevel="1">
      <c r="A130" s="37"/>
      <c r="B130" s="37"/>
      <c r="C130" s="37"/>
      <c r="D130" s="37"/>
      <c r="E130" s="37"/>
      <c r="F130" s="265"/>
      <c r="G130" s="265"/>
      <c r="H130" s="265"/>
      <c r="I130" s="335"/>
      <c r="J130" s="335"/>
      <c r="K130" s="335"/>
      <c r="L130" s="335"/>
      <c r="M130" s="335"/>
      <c r="N130" s="49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</row>
    <row r="131" spans="1:81" s="46" customFormat="1" ht="15" customHeight="1" outlineLevel="1" thickBot="1">
      <c r="A131" s="37"/>
      <c r="B131" s="255" t="s">
        <v>299</v>
      </c>
      <c r="C131" s="37"/>
      <c r="D131" s="37"/>
      <c r="E131" s="37"/>
      <c r="F131" s="442">
        <f>F128+F119</f>
        <v>352583</v>
      </c>
      <c r="G131" s="442">
        <f t="shared" ref="G131:M131" si="57">G128+G119</f>
        <v>364980</v>
      </c>
      <c r="H131" s="442">
        <f t="shared" si="57"/>
        <v>359241</v>
      </c>
      <c r="I131" s="442">
        <f ca="1">I128+I119</f>
        <v>374314.18017382512</v>
      </c>
      <c r="J131" s="442">
        <f t="shared" ca="1" si="57"/>
        <v>397824.13174918608</v>
      </c>
      <c r="K131" s="442">
        <f t="shared" ca="1" si="57"/>
        <v>422593.31751478818</v>
      </c>
      <c r="L131" s="442">
        <f t="shared" ca="1" si="57"/>
        <v>448865.92669254891</v>
      </c>
      <c r="M131" s="442">
        <f t="shared" ca="1" si="57"/>
        <v>480554.50706505217</v>
      </c>
      <c r="N131" s="49"/>
      <c r="O131" s="27"/>
      <c r="P131" s="27"/>
    </row>
    <row r="132" spans="1:81" s="37" customFormat="1" ht="15" customHeight="1" outlineLevel="1">
      <c r="F132" s="441"/>
      <c r="G132" s="441"/>
      <c r="H132" s="441"/>
      <c r="I132" s="441"/>
      <c r="J132" s="441"/>
      <c r="K132" s="441"/>
      <c r="L132" s="441"/>
      <c r="M132" s="441"/>
      <c r="N132" s="49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</row>
    <row r="133" spans="1:81" s="37" customFormat="1" ht="15" customHeight="1" outlineLevel="1">
      <c r="N133" s="49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</row>
    <row r="134" spans="1:81" s="37" customFormat="1" ht="15" customHeight="1" outlineLevel="1">
      <c r="B134" s="325" t="s">
        <v>300</v>
      </c>
      <c r="F134" s="538">
        <f t="shared" ref="F134:M134" si="58">ROUND(F131-F104,0)</f>
        <v>0</v>
      </c>
      <c r="G134" s="538">
        <f t="shared" si="58"/>
        <v>0</v>
      </c>
      <c r="H134" s="538">
        <f t="shared" si="58"/>
        <v>0</v>
      </c>
      <c r="I134" s="538">
        <f ca="1">ROUND(I131-I104,0)</f>
        <v>0</v>
      </c>
      <c r="J134" s="538">
        <f t="shared" ca="1" si="58"/>
        <v>0</v>
      </c>
      <c r="K134" s="538">
        <f t="shared" ca="1" si="58"/>
        <v>0</v>
      </c>
      <c r="L134" s="538">
        <f t="shared" ca="1" si="58"/>
        <v>0</v>
      </c>
      <c r="M134" s="538">
        <f t="shared" ca="1" si="58"/>
        <v>0</v>
      </c>
      <c r="N134" s="49"/>
      <c r="O134" s="27"/>
      <c r="P134" s="27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</row>
    <row r="135" spans="1:81" s="37" customFormat="1" ht="15" customHeight="1" outlineLevel="1">
      <c r="B135" s="38"/>
      <c r="C135" s="53"/>
      <c r="D135" s="422"/>
      <c r="E135" s="47"/>
      <c r="F135" s="269"/>
      <c r="G135" s="269"/>
      <c r="H135" s="537"/>
      <c r="I135" s="537"/>
      <c r="J135" s="537"/>
      <c r="K135" s="537"/>
      <c r="L135" s="537"/>
      <c r="M135" s="537"/>
      <c r="N135" s="49"/>
      <c r="O135" s="27"/>
      <c r="P135" s="27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</row>
    <row r="136" spans="1:81" s="37" customFormat="1" ht="15" customHeight="1" outlineLevel="1">
      <c r="B136" s="38"/>
      <c r="C136" s="53"/>
      <c r="D136" s="422"/>
      <c r="E136" s="47"/>
      <c r="F136" s="269"/>
      <c r="G136" s="269"/>
      <c r="H136" s="537"/>
      <c r="I136" s="537"/>
      <c r="J136" s="537"/>
      <c r="K136" s="537"/>
      <c r="L136" s="537"/>
      <c r="M136" s="537"/>
      <c r="N136" s="537"/>
      <c r="O136" s="27"/>
      <c r="P136" s="27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</row>
    <row r="137" spans="1:81" s="37" customFormat="1" ht="15" customHeight="1" outlineLevel="1">
      <c r="B137" s="465"/>
      <c r="C137" s="122"/>
      <c r="D137" s="464"/>
      <c r="E137" s="236"/>
      <c r="F137" s="268"/>
      <c r="G137" s="268"/>
      <c r="H137" s="463"/>
      <c r="I137" s="463"/>
      <c r="J137" s="463"/>
      <c r="K137" s="463"/>
      <c r="L137" s="463"/>
      <c r="M137" s="463"/>
      <c r="N137" s="463"/>
      <c r="O137" s="34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</row>
    <row r="138" spans="1:81" s="37" customFormat="1" ht="15" customHeight="1">
      <c r="B138" s="38"/>
      <c r="C138" s="53"/>
      <c r="D138" s="422"/>
      <c r="E138" s="47"/>
      <c r="F138" s="269"/>
      <c r="G138" s="269"/>
      <c r="H138" s="537"/>
      <c r="I138" s="537"/>
      <c r="J138" s="537"/>
      <c r="K138" s="537"/>
      <c r="L138" s="537"/>
      <c r="M138" s="537"/>
      <c r="N138" s="537"/>
      <c r="O138" s="34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</row>
    <row r="139" spans="1:81" s="37" customFormat="1" ht="15" customHeight="1">
      <c r="A139" s="58" t="s">
        <v>0</v>
      </c>
      <c r="B139" s="57" t="s">
        <v>247</v>
      </c>
      <c r="C139" s="56"/>
      <c r="D139" s="55"/>
      <c r="E139" s="55"/>
      <c r="F139" s="54"/>
      <c r="G139" s="54"/>
      <c r="H139" s="54"/>
      <c r="I139" s="54"/>
      <c r="J139" s="54"/>
      <c r="K139" s="54"/>
      <c r="L139" s="54"/>
      <c r="M139" s="54"/>
      <c r="N139" s="302"/>
      <c r="O139" s="27"/>
      <c r="P139" s="27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</row>
    <row r="140" spans="1:81" s="37" customFormat="1" ht="15" customHeight="1" outlineLevel="1">
      <c r="A140" s="59"/>
      <c r="B140" s="184"/>
      <c r="C140" s="53"/>
      <c r="D140" s="52"/>
      <c r="E140" s="52"/>
      <c r="F140" s="51"/>
      <c r="G140" s="51"/>
      <c r="H140" s="51"/>
      <c r="I140" s="51"/>
      <c r="J140" s="51"/>
      <c r="K140" s="51"/>
      <c r="L140" s="51"/>
      <c r="M140" s="51"/>
      <c r="N140" s="502"/>
      <c r="O140" s="27"/>
      <c r="P140" s="27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</row>
    <row r="141" spans="1:81" s="37" customFormat="1" ht="15" customHeight="1" outlineLevel="1" thickBot="1">
      <c r="A141" s="58"/>
      <c r="B141" s="43" t="s">
        <v>263</v>
      </c>
      <c r="C141" s="53"/>
      <c r="D141" s="47"/>
      <c r="E141" s="47"/>
      <c r="F141" s="354">
        <f>G141-1</f>
        <v>2023</v>
      </c>
      <c r="G141" s="354">
        <f>H141-1</f>
        <v>2024</v>
      </c>
      <c r="H141" s="354">
        <f>I141-1</f>
        <v>2025</v>
      </c>
      <c r="I141" s="234">
        <f>Inputs!$F$106</f>
        <v>2026</v>
      </c>
      <c r="J141" s="234">
        <f>I141+1</f>
        <v>2027</v>
      </c>
      <c r="K141" s="234">
        <f>J141+1</f>
        <v>2028</v>
      </c>
      <c r="L141" s="234">
        <f>K141+1</f>
        <v>2029</v>
      </c>
      <c r="M141" s="234">
        <f>L141+1</f>
        <v>2030</v>
      </c>
      <c r="N141" s="234" t="s">
        <v>103</v>
      </c>
      <c r="O141" s="27"/>
      <c r="P141" s="27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</row>
    <row r="142" spans="1:81" s="37" customFormat="1" ht="15" customHeight="1" outlineLevel="1">
      <c r="A142" s="58"/>
      <c r="B142" s="43" t="str" cm="1">
        <f t="array" ref="B142">CONCATENATE("Model Running: ",INDEX(Inputs!$B$12:$B$14,Inputs!$D$7)," Drivers")</f>
        <v>Model Running: Base Case Drivers</v>
      </c>
      <c r="C142" s="53"/>
      <c r="D142" s="47"/>
      <c r="E142" s="47"/>
      <c r="F142" s="47"/>
      <c r="G142" s="47"/>
      <c r="H142" s="47"/>
      <c r="I142" s="49"/>
      <c r="J142" s="49"/>
      <c r="K142" s="49"/>
      <c r="L142" s="49"/>
      <c r="M142" s="49"/>
      <c r="N142" s="49"/>
      <c r="O142" s="27"/>
      <c r="P142" s="27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</row>
    <row r="143" spans="1:81" s="37" customFormat="1" ht="15" customHeight="1" outlineLevel="1">
      <c r="A143" s="58"/>
      <c r="B143" s="27"/>
      <c r="C143" s="53"/>
      <c r="D143" s="47"/>
      <c r="E143" s="47"/>
      <c r="F143" s="47"/>
      <c r="G143" s="47"/>
      <c r="H143" s="47"/>
      <c r="I143" s="49"/>
      <c r="J143" s="49"/>
      <c r="K143" s="49"/>
      <c r="L143" s="49"/>
      <c r="M143" s="49"/>
      <c r="N143" s="49"/>
      <c r="O143" s="27"/>
      <c r="P143" s="27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</row>
    <row r="144" spans="1:81" s="37" customFormat="1" ht="15" customHeight="1" outlineLevel="1">
      <c r="B144" s="334" t="s">
        <v>40</v>
      </c>
      <c r="C144" s="436">
        <f>Inputs!$F$109</f>
        <v>365</v>
      </c>
      <c r="D144" s="39"/>
      <c r="E144" s="112"/>
      <c r="F144" s="419">
        <v>365</v>
      </c>
      <c r="G144" s="418">
        <v>365</v>
      </c>
      <c r="H144" s="418">
        <v>365</v>
      </c>
      <c r="I144" s="501">
        <f t="shared" ref="I144:N144" si="59">$C$144</f>
        <v>365</v>
      </c>
      <c r="J144" s="501">
        <f t="shared" si="59"/>
        <v>365</v>
      </c>
      <c r="K144" s="501">
        <f t="shared" si="59"/>
        <v>365</v>
      </c>
      <c r="L144" s="501">
        <f t="shared" si="59"/>
        <v>365</v>
      </c>
      <c r="M144" s="501">
        <f t="shared" si="59"/>
        <v>365</v>
      </c>
      <c r="N144" s="500">
        <f t="shared" si="59"/>
        <v>365</v>
      </c>
      <c r="O144" s="34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</row>
    <row r="145" spans="1:81" s="37" customFormat="1" ht="15" customHeight="1" outlineLevel="1">
      <c r="A145" s="46"/>
      <c r="B145" s="332" t="s">
        <v>37</v>
      </c>
      <c r="C145" s="242">
        <f>Inputs!$L$114</f>
        <v>1600</v>
      </c>
      <c r="D145" s="39"/>
      <c r="E145" s="47"/>
      <c r="F145" s="44"/>
      <c r="G145" s="44"/>
      <c r="H145" s="44"/>
      <c r="I145" s="44"/>
      <c r="J145" s="44"/>
      <c r="K145" s="44"/>
      <c r="L145" s="44"/>
      <c r="M145" s="44"/>
      <c r="N145" s="44"/>
      <c r="O145" s="34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</row>
    <row r="146" spans="1:81" s="37" customFormat="1" ht="15" customHeight="1" outlineLevel="1">
      <c r="A146" s="46"/>
      <c r="B146" s="43"/>
      <c r="C146" s="53"/>
      <c r="D146" s="47"/>
      <c r="E146" s="47"/>
      <c r="F146" s="47"/>
      <c r="G146" s="47"/>
      <c r="H146" s="47"/>
      <c r="I146" s="46"/>
      <c r="J146" s="46"/>
      <c r="K146" s="46"/>
      <c r="L146" s="46"/>
      <c r="M146" s="46"/>
      <c r="N146" s="280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</row>
    <row r="147" spans="1:81" s="37" customFormat="1" ht="15" customHeight="1" outlineLevel="1">
      <c r="A147" s="46"/>
      <c r="B147" s="43"/>
      <c r="C147" s="53"/>
      <c r="D147" s="47"/>
      <c r="E147" s="47"/>
      <c r="F147" s="47"/>
      <c r="G147" s="47"/>
      <c r="H147" s="47"/>
      <c r="I147" s="46"/>
      <c r="J147" s="46"/>
      <c r="K147" s="46"/>
      <c r="L147" s="46"/>
      <c r="M147" s="46"/>
      <c r="N147" s="280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</row>
    <row r="148" spans="1:81" s="37" customFormat="1" ht="15" customHeight="1" outlineLevel="1">
      <c r="B148" s="42" t="s">
        <v>246</v>
      </c>
      <c r="C148" s="40"/>
      <c r="D148" s="422"/>
      <c r="E148" s="112"/>
      <c r="F148" s="499"/>
      <c r="G148" s="134"/>
      <c r="H148" s="134"/>
      <c r="I148" s="46"/>
      <c r="J148" s="46"/>
      <c r="K148" s="46"/>
      <c r="L148" s="46"/>
      <c r="M148" s="46"/>
      <c r="N148" s="280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</row>
    <row r="149" spans="1:81" s="37" customFormat="1" ht="15" customHeight="1" outlineLevel="1">
      <c r="B149" s="38"/>
      <c r="C149" s="40"/>
      <c r="D149" s="422"/>
      <c r="E149" s="112"/>
      <c r="F149" s="134"/>
      <c r="G149" s="134"/>
      <c r="H149" s="134"/>
      <c r="I149" s="134"/>
      <c r="J149" s="134"/>
      <c r="K149" s="134"/>
      <c r="L149" s="134"/>
      <c r="M149" s="134"/>
      <c r="N149" s="47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</row>
    <row r="150" spans="1:81" s="37" customFormat="1" ht="15" customHeight="1" outlineLevel="1">
      <c r="A150" s="46"/>
      <c r="B150" s="111" t="s">
        <v>101</v>
      </c>
      <c r="C150" s="53"/>
      <c r="D150" s="47"/>
      <c r="E150" s="47"/>
      <c r="F150" s="47"/>
      <c r="G150" s="103">
        <f>G152/F152-1</f>
        <v>3.6996538814720648E-2</v>
      </c>
      <c r="H150" s="103">
        <f>H152/G152-1</f>
        <v>0.10044711581689225</v>
      </c>
      <c r="I150" s="103">
        <f>Inputs!G10</f>
        <v>4.2999999999999997E-2</v>
      </c>
      <c r="J150" s="103">
        <f>Inputs!H10</f>
        <v>3.2000000000000001E-2</v>
      </c>
      <c r="K150" s="103">
        <f>Inputs!I10</f>
        <v>1.7000000000000001E-2</v>
      </c>
      <c r="L150" s="103">
        <f>Inputs!J10</f>
        <v>1.6E-2</v>
      </c>
      <c r="M150" s="103">
        <f>Inputs!K10</f>
        <v>1.6E-2</v>
      </c>
      <c r="N150" s="498">
        <f>Inputs!L10</f>
        <v>0.01</v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</row>
    <row r="151" spans="1:81" s="37" customFormat="1" ht="15" customHeight="1" outlineLevel="1">
      <c r="A151" s="46"/>
      <c r="B151" s="111"/>
      <c r="C151" s="53"/>
      <c r="D151" s="47"/>
      <c r="E151" s="47"/>
      <c r="F151" s="47"/>
      <c r="G151" s="103"/>
      <c r="H151" s="103"/>
      <c r="I151" s="102"/>
      <c r="J151" s="102"/>
      <c r="K151" s="102"/>
      <c r="L151" s="102"/>
      <c r="M151" s="102"/>
      <c r="N151" s="497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</row>
    <row r="152" spans="1:81" s="37" customFormat="1" ht="15" customHeight="1" outlineLevel="1">
      <c r="A152" s="46"/>
      <c r="B152" s="111" t="s">
        <v>236</v>
      </c>
      <c r="C152" s="53"/>
      <c r="D152" s="422" t="s">
        <v>36</v>
      </c>
      <c r="E152" s="47"/>
      <c r="F152" s="269">
        <v>1061.7750000000001</v>
      </c>
      <c r="G152" s="269">
        <v>1101.057</v>
      </c>
      <c r="H152" s="269">
        <v>1211.655</v>
      </c>
      <c r="I152" s="44">
        <f t="shared" ref="I152:L152" si="60">H152*(1+I150)</f>
        <v>1263.7561649999998</v>
      </c>
      <c r="J152" s="44">
        <f t="shared" si="60"/>
        <v>1304.1963622799999</v>
      </c>
      <c r="K152" s="44">
        <f t="shared" si="60"/>
        <v>1326.3677004387598</v>
      </c>
      <c r="L152" s="44">
        <f t="shared" si="60"/>
        <v>1347.5895836457801</v>
      </c>
      <c r="M152" s="44">
        <f>L152*(1+M150)</f>
        <v>1369.1510169841126</v>
      </c>
      <c r="N152" s="328">
        <f>M152*(1+N150)</f>
        <v>1382.8425271539538</v>
      </c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</row>
    <row r="153" spans="1:81" s="37" customFormat="1" ht="15" customHeight="1" outlineLevel="1">
      <c r="B153" s="111" t="s">
        <v>37</v>
      </c>
      <c r="C153" s="40"/>
      <c r="D153" s="422" t="s">
        <v>36</v>
      </c>
      <c r="E153" s="112"/>
      <c r="F153" s="269">
        <v>1350</v>
      </c>
      <c r="G153" s="269">
        <v>1420</v>
      </c>
      <c r="H153" s="269">
        <v>1550</v>
      </c>
      <c r="I153" s="44">
        <f t="shared" ref="I153:L153" si="61">$C$145</f>
        <v>1600</v>
      </c>
      <c r="J153" s="44">
        <f t="shared" si="61"/>
        <v>1600</v>
      </c>
      <c r="K153" s="44">
        <f t="shared" si="61"/>
        <v>1600</v>
      </c>
      <c r="L153" s="44">
        <f t="shared" si="61"/>
        <v>1600</v>
      </c>
      <c r="M153" s="44">
        <f>$C$145</f>
        <v>1600</v>
      </c>
      <c r="N153" s="496">
        <f>$C$145</f>
        <v>1600</v>
      </c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</row>
    <row r="154" spans="1:81" s="37" customFormat="1" ht="15" customHeight="1" outlineLevel="1">
      <c r="B154" s="111" t="s">
        <v>245</v>
      </c>
      <c r="C154" s="53"/>
      <c r="D154" s="47"/>
      <c r="E154" s="47"/>
      <c r="F154" s="495">
        <f t="shared" ref="F154:L154" si="62">F152/F153</f>
        <v>0.78650000000000009</v>
      </c>
      <c r="G154" s="495">
        <f t="shared" si="62"/>
        <v>0.77539225352112673</v>
      </c>
      <c r="H154" s="495">
        <f t="shared" si="62"/>
        <v>0.78171290322580644</v>
      </c>
      <c r="I154" s="495">
        <f t="shared" si="62"/>
        <v>0.78984760312499991</v>
      </c>
      <c r="J154" s="495">
        <f t="shared" si="62"/>
        <v>0.81512272642499994</v>
      </c>
      <c r="K154" s="495">
        <f t="shared" si="62"/>
        <v>0.82897981277422483</v>
      </c>
      <c r="L154" s="495">
        <f t="shared" si="62"/>
        <v>0.84224348977861252</v>
      </c>
      <c r="M154" s="495">
        <f>M152/M153</f>
        <v>0.85571938561507044</v>
      </c>
      <c r="N154" s="494">
        <f>N152/N153</f>
        <v>0.86427657947122116</v>
      </c>
      <c r="O154" s="39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</row>
    <row r="155" spans="1:81" s="37" customFormat="1" ht="15" customHeight="1" outlineLevel="1">
      <c r="A155" s="46"/>
      <c r="B155" s="27"/>
      <c r="C155" s="53"/>
      <c r="D155" s="422"/>
      <c r="E155" s="47"/>
      <c r="F155" s="44"/>
      <c r="G155" s="44"/>
      <c r="H155" s="44"/>
      <c r="I155" s="44"/>
      <c r="J155" s="44"/>
      <c r="K155" s="44"/>
      <c r="L155" s="44"/>
      <c r="M155" s="44"/>
      <c r="N155" s="44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</row>
    <row r="156" spans="1:81" s="37" customFormat="1" ht="15" customHeight="1" outlineLevel="1">
      <c r="A156" s="46"/>
      <c r="B156" s="28"/>
      <c r="C156" s="122"/>
      <c r="D156" s="464"/>
      <c r="E156" s="236"/>
      <c r="F156" s="267"/>
      <c r="G156" s="267"/>
      <c r="H156" s="267"/>
      <c r="I156" s="267"/>
      <c r="J156" s="267"/>
      <c r="K156" s="267"/>
      <c r="L156" s="267"/>
      <c r="M156" s="267"/>
      <c r="N156" s="267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</row>
    <row r="157" spans="1:81" s="37" customFormat="1" ht="15" customHeight="1" outlineLevel="1">
      <c r="A157" s="46"/>
      <c r="B157" s="43"/>
      <c r="C157" s="53"/>
      <c r="D157" s="47"/>
      <c r="E157" s="47"/>
      <c r="F157" s="47"/>
      <c r="G157" s="47"/>
      <c r="H157" s="47"/>
      <c r="I157" s="46"/>
      <c r="J157" s="46"/>
      <c r="K157" s="46"/>
      <c r="L157" s="46"/>
      <c r="M157" s="46"/>
      <c r="N157" s="46"/>
      <c r="O157" s="34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</row>
    <row r="158" spans="1:81" s="46" customFormat="1" ht="15" customHeight="1" outlineLevel="1">
      <c r="B158" s="43"/>
      <c r="C158" s="53"/>
      <c r="D158" s="47"/>
      <c r="E158" s="47"/>
      <c r="F158" s="47"/>
      <c r="G158" s="47"/>
      <c r="H158" s="47"/>
      <c r="O158" s="34"/>
      <c r="P158" s="37"/>
    </row>
    <row r="159" spans="1:81" s="37" customFormat="1" ht="15" customHeight="1" outlineLevel="1">
      <c r="B159" s="42" t="s">
        <v>244</v>
      </c>
      <c r="C159" s="40"/>
      <c r="D159" s="422"/>
      <c r="E159" s="112"/>
      <c r="F159" s="134"/>
      <c r="G159" s="134"/>
      <c r="H159" s="134"/>
      <c r="I159" s="134"/>
      <c r="J159" s="134"/>
      <c r="K159" s="134"/>
      <c r="L159" s="134"/>
      <c r="M159" s="134"/>
      <c r="N159" s="134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</row>
    <row r="160" spans="1:81" s="37" customFormat="1" ht="15" customHeight="1" outlineLevel="1">
      <c r="B160" s="38"/>
      <c r="C160" s="40"/>
      <c r="D160" s="422"/>
      <c r="E160" s="112"/>
      <c r="F160" s="134"/>
      <c r="G160" s="134"/>
      <c r="H160" s="134"/>
      <c r="I160" s="134"/>
      <c r="J160" s="134"/>
      <c r="K160" s="134"/>
      <c r="L160" s="134"/>
      <c r="M160" s="134"/>
      <c r="N160" s="134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</row>
    <row r="161" spans="1:81" s="37" customFormat="1" ht="15" customHeight="1" outlineLevel="1">
      <c r="A161" s="46"/>
      <c r="B161" s="111" t="s">
        <v>40</v>
      </c>
      <c r="C161" s="53"/>
      <c r="D161" s="47"/>
      <c r="E161" s="47"/>
      <c r="F161" s="44">
        <f t="shared" ref="F161:N161" si="63">F144</f>
        <v>365</v>
      </c>
      <c r="G161" s="44">
        <f>G144</f>
        <v>365</v>
      </c>
      <c r="H161" s="44">
        <f t="shared" si="63"/>
        <v>365</v>
      </c>
      <c r="I161" s="44">
        <f t="shared" si="63"/>
        <v>365</v>
      </c>
      <c r="J161" s="44">
        <f t="shared" si="63"/>
        <v>365</v>
      </c>
      <c r="K161" s="44">
        <f t="shared" si="63"/>
        <v>365</v>
      </c>
      <c r="L161" s="44">
        <f t="shared" si="63"/>
        <v>365</v>
      </c>
      <c r="M161" s="44">
        <f>M144</f>
        <v>365</v>
      </c>
      <c r="N161" s="281">
        <f t="shared" si="63"/>
        <v>365</v>
      </c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</row>
    <row r="162" spans="1:81" s="46" customFormat="1" ht="15" customHeight="1" outlineLevel="1">
      <c r="B162" s="111" t="s">
        <v>236</v>
      </c>
      <c r="C162" s="53"/>
      <c r="D162" s="422" t="s">
        <v>36</v>
      </c>
      <c r="E162" s="47"/>
      <c r="F162" s="267">
        <f t="shared" ref="F162:L162" si="64">F152</f>
        <v>1061.7750000000001</v>
      </c>
      <c r="G162" s="267">
        <f t="shared" si="64"/>
        <v>1101.057</v>
      </c>
      <c r="H162" s="267">
        <f t="shared" si="64"/>
        <v>1211.655</v>
      </c>
      <c r="I162" s="44">
        <f t="shared" si="64"/>
        <v>1263.7561649999998</v>
      </c>
      <c r="J162" s="267">
        <f t="shared" si="64"/>
        <v>1304.1963622799999</v>
      </c>
      <c r="K162" s="267">
        <f t="shared" si="64"/>
        <v>1326.3677004387598</v>
      </c>
      <c r="L162" s="267">
        <f t="shared" si="64"/>
        <v>1347.5895836457801</v>
      </c>
      <c r="M162" s="267">
        <f>M152</f>
        <v>1369.1510169841126</v>
      </c>
      <c r="N162" s="328">
        <f>N152</f>
        <v>1382.8425271539538</v>
      </c>
      <c r="O162" s="37"/>
      <c r="P162" s="37"/>
    </row>
    <row r="163" spans="1:81" s="46" customFormat="1" ht="15" customHeight="1" outlineLevel="1">
      <c r="B163" s="111" t="s">
        <v>236</v>
      </c>
      <c r="C163" s="53"/>
      <c r="D163" s="422" t="s">
        <v>240</v>
      </c>
      <c r="E163" s="47"/>
      <c r="F163" s="44">
        <f t="shared" ref="F163:N163" si="65">F162*F161</f>
        <v>387547.87500000006</v>
      </c>
      <c r="G163" s="44">
        <f>G162*G161</f>
        <v>401885.80499999999</v>
      </c>
      <c r="H163" s="44">
        <f t="shared" si="65"/>
        <v>442254.07500000001</v>
      </c>
      <c r="I163" s="282">
        <f t="shared" si="65"/>
        <v>461271.00022499991</v>
      </c>
      <c r="J163" s="44">
        <f t="shared" si="65"/>
        <v>476031.67223219998</v>
      </c>
      <c r="K163" s="44">
        <f t="shared" si="65"/>
        <v>484124.21066014731</v>
      </c>
      <c r="L163" s="44">
        <f t="shared" si="65"/>
        <v>491870.1980307097</v>
      </c>
      <c r="M163" s="44">
        <f>M162*M161</f>
        <v>499740.12119920109</v>
      </c>
      <c r="N163" s="281">
        <f t="shared" si="65"/>
        <v>504737.52241119317</v>
      </c>
      <c r="O163" s="37"/>
      <c r="P163" s="37"/>
    </row>
    <row r="164" spans="1:81" s="46" customFormat="1" ht="15" customHeight="1" outlineLevel="1">
      <c r="B164" s="38"/>
      <c r="C164" s="53"/>
      <c r="D164" s="422"/>
      <c r="E164" s="47"/>
      <c r="F164" s="44"/>
      <c r="G164" s="44"/>
      <c r="H164" s="44"/>
      <c r="I164" s="470"/>
      <c r="J164" s="470"/>
      <c r="K164" s="470"/>
      <c r="L164" s="470"/>
      <c r="M164" s="470"/>
      <c r="N164" s="493"/>
      <c r="O164" s="37"/>
      <c r="P164" s="37"/>
    </row>
    <row r="165" spans="1:81" ht="15" customHeight="1" outlineLevel="1">
      <c r="A165" s="46"/>
      <c r="B165" s="38"/>
      <c r="C165" s="53"/>
      <c r="D165" s="422"/>
      <c r="E165" s="47"/>
      <c r="F165" s="44"/>
      <c r="G165" s="44"/>
      <c r="H165" s="44"/>
      <c r="I165" s="470"/>
      <c r="J165" s="470"/>
      <c r="K165" s="470"/>
      <c r="L165" s="470"/>
      <c r="M165" s="470"/>
      <c r="N165" s="493"/>
      <c r="O165" s="37"/>
      <c r="P165" s="37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</row>
    <row r="166" spans="1:81" s="46" customFormat="1" ht="15" customHeight="1" outlineLevel="1">
      <c r="A166" s="37"/>
      <c r="B166" s="42" t="s">
        <v>243</v>
      </c>
      <c r="C166" s="40"/>
      <c r="D166" s="422"/>
      <c r="E166" s="422"/>
      <c r="F166" s="422"/>
      <c r="G166" s="422"/>
      <c r="H166" s="422"/>
      <c r="I166" s="422"/>
      <c r="J166" s="422"/>
      <c r="K166" s="422"/>
      <c r="L166" s="422"/>
      <c r="M166" s="44"/>
      <c r="N166" s="328"/>
      <c r="O166" s="37"/>
      <c r="P166" s="37"/>
    </row>
    <row r="167" spans="1:81" s="46" customFormat="1" ht="15" customHeight="1" outlineLevel="1">
      <c r="A167" s="37"/>
      <c r="B167" s="38"/>
      <c r="C167" s="40"/>
      <c r="D167" s="422"/>
      <c r="E167" s="112"/>
      <c r="F167" s="134"/>
      <c r="G167" s="134"/>
      <c r="H167" s="134"/>
      <c r="I167" s="134"/>
      <c r="J167" s="134"/>
      <c r="K167" s="134"/>
      <c r="L167" s="134"/>
      <c r="M167" s="134"/>
      <c r="N167" s="492"/>
      <c r="O167" s="37"/>
      <c r="P167" s="37"/>
    </row>
    <row r="168" spans="1:81" s="46" customFormat="1" ht="15" customHeight="1" outlineLevel="1">
      <c r="B168" s="111" t="s">
        <v>100</v>
      </c>
      <c r="C168" s="53"/>
      <c r="D168" s="47"/>
      <c r="E168" s="47"/>
      <c r="F168" s="236"/>
      <c r="G168" s="484">
        <f>G169/F169-1</f>
        <v>-1.6177957532861442E-2</v>
      </c>
      <c r="H168" s="484">
        <f>H169/G169-1</f>
        <v>-3.2887975334018549E-2</v>
      </c>
      <c r="I168" s="484">
        <f>Inputs!G17</f>
        <v>2.5000000000000001E-2</v>
      </c>
      <c r="J168" s="484">
        <f>Inputs!H17</f>
        <v>1.4999999999999999E-2</v>
      </c>
      <c r="K168" s="484">
        <f>Inputs!I17</f>
        <v>1.4999999999999999E-2</v>
      </c>
      <c r="L168" s="484">
        <f>Inputs!J17</f>
        <v>0.01</v>
      </c>
      <c r="M168" s="484">
        <f>Inputs!K17</f>
        <v>0.01</v>
      </c>
      <c r="N168" s="483">
        <f>Inputs!L17</f>
        <v>1.4999999999999999E-2</v>
      </c>
      <c r="O168" s="37"/>
      <c r="P168" s="37"/>
    </row>
    <row r="169" spans="1:81" s="46" customFormat="1" ht="15" customHeight="1" outlineLevel="1">
      <c r="B169" s="111" t="s">
        <v>242</v>
      </c>
      <c r="C169" s="53"/>
      <c r="D169" s="422" t="s">
        <v>225</v>
      </c>
      <c r="E169" s="47"/>
      <c r="F169" s="527">
        <v>0.98899999999999999</v>
      </c>
      <c r="G169" s="527">
        <v>0.97299999999999998</v>
      </c>
      <c r="H169" s="527">
        <v>0.94099999999999995</v>
      </c>
      <c r="I169" s="528">
        <f t="shared" ref="I169:L169" si="66">H169*(1+I168)</f>
        <v>0.96452499999999985</v>
      </c>
      <c r="J169" s="528">
        <f t="shared" si="66"/>
        <v>0.97899287499999976</v>
      </c>
      <c r="K169" s="528">
        <f t="shared" si="66"/>
        <v>0.99367776812499964</v>
      </c>
      <c r="L169" s="528">
        <f t="shared" si="66"/>
        <v>1.0036145458062495</v>
      </c>
      <c r="M169" s="528">
        <f>L169*(1+M168)</f>
        <v>1.013650691264312</v>
      </c>
      <c r="N169" s="529">
        <f>M169*(1+N168)</f>
        <v>1.0288554516332766</v>
      </c>
      <c r="O169" s="37"/>
      <c r="P169" s="37"/>
    </row>
    <row r="170" spans="1:81" s="46" customFormat="1" ht="15" customHeight="1" outlineLevel="1">
      <c r="B170" s="27"/>
      <c r="C170" s="53"/>
      <c r="D170" s="422"/>
      <c r="E170" s="47"/>
      <c r="F170" s="139"/>
      <c r="G170" s="139"/>
      <c r="H170" s="139"/>
      <c r="I170" s="138"/>
      <c r="J170" s="138"/>
      <c r="K170" s="138"/>
      <c r="L170" s="138"/>
      <c r="M170" s="138"/>
      <c r="N170" s="466"/>
      <c r="O170" s="37"/>
      <c r="P170" s="37"/>
    </row>
    <row r="171" spans="1:81" s="46" customFormat="1" ht="15" customHeight="1" outlineLevel="1">
      <c r="B171" s="27"/>
      <c r="C171" s="53"/>
      <c r="D171" s="422"/>
      <c r="E171" s="47"/>
      <c r="F171" s="139"/>
      <c r="G171" s="139"/>
      <c r="H171" s="139"/>
      <c r="I171" s="138"/>
      <c r="J171" s="138"/>
      <c r="K171" s="138"/>
      <c r="L171" s="138"/>
      <c r="M171" s="138"/>
      <c r="N171" s="466"/>
      <c r="O171" s="37"/>
      <c r="P171" s="37"/>
    </row>
    <row r="172" spans="1:81" s="46" customFormat="1" ht="15" customHeight="1" outlineLevel="1">
      <c r="A172" s="37"/>
      <c r="B172" s="42" t="s">
        <v>241</v>
      </c>
      <c r="C172" s="40"/>
      <c r="D172" s="422"/>
      <c r="E172" s="112"/>
      <c r="F172" s="134"/>
      <c r="G172" s="134"/>
      <c r="H172" s="134"/>
      <c r="I172" s="134"/>
      <c r="J172" s="134"/>
      <c r="K172" s="134"/>
      <c r="L172" s="134"/>
      <c r="M172" s="134"/>
      <c r="N172" s="492"/>
      <c r="O172" s="37"/>
      <c r="P172" s="37"/>
    </row>
    <row r="173" spans="1:81" s="46" customFormat="1" ht="15" customHeight="1" outlineLevel="1">
      <c r="A173" s="37"/>
      <c r="B173" s="38"/>
      <c r="C173" s="40"/>
      <c r="D173" s="422"/>
      <c r="E173" s="112"/>
      <c r="F173" s="134"/>
      <c r="G173" s="134"/>
      <c r="H173" s="134"/>
      <c r="I173" s="134"/>
      <c r="J173" s="134"/>
      <c r="K173" s="134"/>
      <c r="L173" s="134"/>
      <c r="M173" s="134"/>
      <c r="N173" s="492"/>
      <c r="O173" s="37"/>
      <c r="P173" s="37"/>
    </row>
    <row r="174" spans="1:81" s="46" customFormat="1" ht="15" customHeight="1" outlineLevel="1">
      <c r="B174" s="111" t="s">
        <v>236</v>
      </c>
      <c r="C174" s="53"/>
      <c r="D174" s="422" t="s">
        <v>240</v>
      </c>
      <c r="E174" s="47"/>
      <c r="F174" s="44">
        <f t="shared" ref="F174:L174" si="67">F163</f>
        <v>387547.87500000006</v>
      </c>
      <c r="G174" s="44">
        <f>G163</f>
        <v>401885.80499999999</v>
      </c>
      <c r="H174" s="44">
        <f t="shared" si="67"/>
        <v>442254.07500000001</v>
      </c>
      <c r="I174" s="44">
        <f t="shared" si="67"/>
        <v>461271.00022499991</v>
      </c>
      <c r="J174" s="44">
        <f t="shared" si="67"/>
        <v>476031.67223219998</v>
      </c>
      <c r="K174" s="44">
        <f t="shared" si="67"/>
        <v>484124.21066014731</v>
      </c>
      <c r="L174" s="44">
        <f t="shared" si="67"/>
        <v>491870.1980307097</v>
      </c>
      <c r="M174" s="44">
        <f>M163</f>
        <v>499740.12119920109</v>
      </c>
      <c r="N174" s="328">
        <f>N163</f>
        <v>504737.52241119317</v>
      </c>
      <c r="O174" s="37"/>
      <c r="P174" s="37"/>
    </row>
    <row r="175" spans="1:81" s="46" customFormat="1" ht="15" customHeight="1" outlineLevel="1">
      <c r="B175" s="111" t="s">
        <v>239</v>
      </c>
      <c r="C175" s="53"/>
      <c r="D175" s="422" t="s">
        <v>225</v>
      </c>
      <c r="E175" s="47"/>
      <c r="F175" s="530">
        <f t="shared" ref="F175:L175" si="68">F169</f>
        <v>0.98899999999999999</v>
      </c>
      <c r="G175" s="530">
        <f t="shared" si="68"/>
        <v>0.97299999999999998</v>
      </c>
      <c r="H175" s="530">
        <f t="shared" si="68"/>
        <v>0.94099999999999995</v>
      </c>
      <c r="I175" s="530">
        <f t="shared" si="68"/>
        <v>0.96452499999999985</v>
      </c>
      <c r="J175" s="530">
        <f t="shared" si="68"/>
        <v>0.97899287499999976</v>
      </c>
      <c r="K175" s="530">
        <f t="shared" si="68"/>
        <v>0.99367776812499964</v>
      </c>
      <c r="L175" s="530">
        <f t="shared" si="68"/>
        <v>1.0036145458062495</v>
      </c>
      <c r="M175" s="530">
        <f>M169</f>
        <v>1.013650691264312</v>
      </c>
      <c r="N175" s="531">
        <f>N169</f>
        <v>1.0288554516332766</v>
      </c>
      <c r="O175" s="37"/>
      <c r="P175" s="37"/>
    </row>
    <row r="176" spans="1:81" s="46" customFormat="1" ht="15" customHeight="1" outlineLevel="1" thickBot="1">
      <c r="B176" s="111" t="s">
        <v>211</v>
      </c>
      <c r="C176" s="53"/>
      <c r="D176" s="422"/>
      <c r="E176" s="47"/>
      <c r="F176" s="491">
        <f>F174*F175</f>
        <v>383284.84837500006</v>
      </c>
      <c r="G176" s="491">
        <f>G174*G175</f>
        <v>391034.88826499996</v>
      </c>
      <c r="H176" s="491">
        <f t="shared" ref="H176:L176" si="69">H174*H175</f>
        <v>416161.08457499999</v>
      </c>
      <c r="I176" s="491">
        <f t="shared" si="69"/>
        <v>444907.41149201797</v>
      </c>
      <c r="J176" s="491">
        <f t="shared" si="69"/>
        <v>466031.61538965901</v>
      </c>
      <c r="K176" s="491">
        <f t="shared" si="69"/>
        <v>481063.46514405234</v>
      </c>
      <c r="L176" s="491">
        <f t="shared" si="69"/>
        <v>493648.0853922207</v>
      </c>
      <c r="M176" s="491">
        <f>M174*M175</f>
        <v>506561.91930608125</v>
      </c>
      <c r="N176" s="491">
        <f>N174*N175</f>
        <v>519301.95157662925</v>
      </c>
      <c r="O176" s="37"/>
      <c r="P176" s="37"/>
    </row>
    <row r="177" spans="1:16" s="46" customFormat="1" ht="15" customHeight="1" outlineLevel="1">
      <c r="B177" s="27"/>
      <c r="C177" s="53"/>
      <c r="D177" s="422"/>
      <c r="E177" s="47"/>
      <c r="F177" s="44"/>
      <c r="G177" s="44"/>
      <c r="H177" s="44"/>
      <c r="I177" s="44"/>
      <c r="J177" s="44"/>
      <c r="K177" s="44"/>
      <c r="L177" s="44"/>
      <c r="M177" s="44"/>
      <c r="N177" s="44"/>
      <c r="O177" s="37"/>
      <c r="P177" s="37"/>
    </row>
    <row r="178" spans="1:16" s="46" customFormat="1" ht="15" customHeight="1" outlineLevel="1">
      <c r="B178" s="27"/>
      <c r="C178" s="53"/>
      <c r="D178" s="422"/>
      <c r="E178" s="47"/>
      <c r="F178" s="44"/>
      <c r="G178" s="44"/>
      <c r="H178" s="44"/>
      <c r="I178" s="44"/>
      <c r="J178" s="44"/>
      <c r="K178" s="44"/>
      <c r="L178" s="44"/>
      <c r="M178" s="44"/>
      <c r="N178" s="44"/>
      <c r="O178" s="37"/>
      <c r="P178" s="37"/>
    </row>
    <row r="179" spans="1:16" s="46" customFormat="1" ht="15" customHeight="1" outlineLevel="1">
      <c r="B179" s="38" t="s">
        <v>238</v>
      </c>
      <c r="C179" s="53"/>
      <c r="D179" s="490"/>
      <c r="E179" s="47"/>
      <c r="F179" s="489">
        <f t="shared" ref="F179:N179" si="70">IF(F154&gt;=1,1,0)</f>
        <v>0</v>
      </c>
      <c r="G179" s="488">
        <f t="shared" si="70"/>
        <v>0</v>
      </c>
      <c r="H179" s="488">
        <f t="shared" si="70"/>
        <v>0</v>
      </c>
      <c r="I179" s="488">
        <f t="shared" si="70"/>
        <v>0</v>
      </c>
      <c r="J179" s="488">
        <f t="shared" si="70"/>
        <v>0</v>
      </c>
      <c r="K179" s="488">
        <f t="shared" si="70"/>
        <v>0</v>
      </c>
      <c r="L179" s="488">
        <f t="shared" si="70"/>
        <v>0</v>
      </c>
      <c r="M179" s="488">
        <f t="shared" si="70"/>
        <v>0</v>
      </c>
      <c r="N179" s="487">
        <f t="shared" si="70"/>
        <v>0</v>
      </c>
      <c r="O179" s="37"/>
      <c r="P179" s="37"/>
    </row>
    <row r="180" spans="1:16" s="46" customFormat="1" ht="15" customHeight="1" outlineLevel="1">
      <c r="B180" s="43"/>
      <c r="C180" s="53"/>
      <c r="D180" s="47"/>
      <c r="E180" s="47"/>
      <c r="F180" s="47"/>
      <c r="G180" s="47"/>
      <c r="H180" s="47"/>
      <c r="N180" s="280"/>
      <c r="O180" s="27"/>
      <c r="P180" s="27"/>
    </row>
    <row r="181" spans="1:16" s="46" customFormat="1" ht="15" customHeight="1" outlineLevel="1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 spans="1:16" s="46" customFormat="1" ht="15" customHeight="1">
      <c r="A182" s="37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37"/>
      <c r="P182" s="37"/>
    </row>
    <row r="183" spans="1:16" s="46" customFormat="1" ht="15" customHeight="1">
      <c r="A183" s="37" t="s">
        <v>0</v>
      </c>
      <c r="B183" s="57" t="s">
        <v>237</v>
      </c>
      <c r="C183" s="56"/>
      <c r="D183" s="55"/>
      <c r="E183" s="55"/>
      <c r="F183" s="54"/>
      <c r="G183" s="54"/>
      <c r="H183" s="54"/>
      <c r="I183" s="54"/>
      <c r="J183" s="54"/>
      <c r="K183" s="54"/>
      <c r="L183" s="54"/>
      <c r="M183" s="54"/>
      <c r="N183" s="302"/>
      <c r="O183" s="34"/>
    </row>
    <row r="184" spans="1:16" s="46" customFormat="1" ht="15" customHeight="1" outlineLevel="1">
      <c r="A184" s="37"/>
      <c r="B184" s="183"/>
      <c r="C184" s="53"/>
      <c r="D184" s="52"/>
      <c r="E184" s="52"/>
      <c r="F184" s="51"/>
      <c r="G184" s="51"/>
      <c r="H184" s="51"/>
      <c r="I184" s="51"/>
      <c r="J184" s="51"/>
      <c r="K184" s="51"/>
      <c r="L184" s="51"/>
      <c r="M184" s="51"/>
      <c r="N184" s="51"/>
      <c r="O184" s="34"/>
    </row>
    <row r="185" spans="1:16" s="46" customFormat="1" ht="15" customHeight="1" outlineLevel="1" thickBot="1">
      <c r="A185" s="37"/>
      <c r="B185" s="43" t="s">
        <v>263</v>
      </c>
      <c r="C185" s="53"/>
      <c r="D185" s="47"/>
      <c r="E185" s="47"/>
      <c r="F185" s="354">
        <f t="shared" ref="F185:N185" si="71">F$141</f>
        <v>2023</v>
      </c>
      <c r="G185" s="354">
        <f t="shared" si="71"/>
        <v>2024</v>
      </c>
      <c r="H185" s="354">
        <f t="shared" si="71"/>
        <v>2025</v>
      </c>
      <c r="I185" s="234">
        <f t="shared" si="71"/>
        <v>2026</v>
      </c>
      <c r="J185" s="234">
        <f t="shared" si="71"/>
        <v>2027</v>
      </c>
      <c r="K185" s="234">
        <f t="shared" si="71"/>
        <v>2028</v>
      </c>
      <c r="L185" s="234">
        <f t="shared" si="71"/>
        <v>2029</v>
      </c>
      <c r="M185" s="234">
        <f t="shared" si="71"/>
        <v>2030</v>
      </c>
      <c r="N185" s="234" t="str">
        <f t="shared" si="71"/>
        <v>Term</v>
      </c>
      <c r="O185" s="256"/>
    </row>
    <row r="186" spans="1:16" s="46" customFormat="1" ht="15" customHeight="1" outlineLevel="1">
      <c r="A186" s="37"/>
      <c r="B186" s="43" t="str">
        <f>$B$142</f>
        <v>Model Running: Base Case Drivers</v>
      </c>
      <c r="C186" s="53"/>
      <c r="D186" s="47"/>
      <c r="E186" s="47"/>
      <c r="F186" s="47"/>
      <c r="G186" s="47"/>
      <c r="H186" s="47"/>
      <c r="I186" s="49"/>
      <c r="J186" s="49"/>
      <c r="K186" s="49"/>
      <c r="L186" s="49"/>
      <c r="M186" s="49"/>
      <c r="N186" s="49"/>
      <c r="P186" s="27"/>
    </row>
    <row r="187" spans="1:16" s="46" customFormat="1" ht="15" customHeight="1" outlineLevel="1">
      <c r="A187" s="37"/>
      <c r="B187" s="43"/>
      <c r="C187" s="53"/>
      <c r="D187" s="47"/>
      <c r="E187" s="47"/>
      <c r="F187" s="47"/>
      <c r="G187" s="47"/>
      <c r="H187" s="47"/>
      <c r="N187" s="27"/>
      <c r="O187" s="27"/>
    </row>
    <row r="188" spans="1:16" s="46" customFormat="1" ht="15" customHeight="1" outlineLevel="1">
      <c r="A188" s="37"/>
      <c r="B188" s="38" t="s">
        <v>236</v>
      </c>
      <c r="C188" s="53"/>
      <c r="D188" s="422"/>
      <c r="E188" s="47"/>
      <c r="F188" s="353">
        <f t="shared" ref="F188:L188" si="72">F174</f>
        <v>387547.87500000006</v>
      </c>
      <c r="G188" s="282">
        <f t="shared" si="72"/>
        <v>401885.80499999999</v>
      </c>
      <c r="H188" s="282">
        <f t="shared" si="72"/>
        <v>442254.07500000001</v>
      </c>
      <c r="I188" s="282">
        <f t="shared" si="72"/>
        <v>461271.00022499991</v>
      </c>
      <c r="J188" s="282">
        <f t="shared" si="72"/>
        <v>476031.67223219998</v>
      </c>
      <c r="K188" s="282">
        <f t="shared" si="72"/>
        <v>484124.21066014731</v>
      </c>
      <c r="L188" s="282">
        <f t="shared" si="72"/>
        <v>491870.1980307097</v>
      </c>
      <c r="M188" s="282">
        <f>M174</f>
        <v>499740.12119920109</v>
      </c>
      <c r="N188" s="281">
        <f>N174</f>
        <v>504737.52241119317</v>
      </c>
      <c r="O188" s="256"/>
      <c r="P188" s="37"/>
    </row>
    <row r="189" spans="1:16" s="46" customFormat="1" ht="15" customHeight="1" outlineLevel="1">
      <c r="A189" s="37"/>
      <c r="B189" s="38" t="s">
        <v>220</v>
      </c>
      <c r="C189" s="53"/>
      <c r="D189" s="47"/>
      <c r="E189" s="47"/>
      <c r="F189" s="486">
        <v>3.4000000000000002E-2</v>
      </c>
      <c r="G189" s="485">
        <v>2.4E-2</v>
      </c>
      <c r="H189" s="485">
        <v>2.3E-2</v>
      </c>
      <c r="I189" s="484">
        <f>Inputs!G31</f>
        <v>2.4E-2</v>
      </c>
      <c r="J189" s="484">
        <f>Inputs!H31</f>
        <v>2.5000000000000001E-2</v>
      </c>
      <c r="K189" s="484">
        <f>Inputs!I31</f>
        <v>2.3E-2</v>
      </c>
      <c r="L189" s="484">
        <f>Inputs!J31</f>
        <v>2.1999999999999999E-2</v>
      </c>
      <c r="M189" s="484">
        <f>Inputs!K31</f>
        <v>2.1000000000000001E-2</v>
      </c>
      <c r="N189" s="483">
        <f>Inputs!L31</f>
        <v>0.02</v>
      </c>
      <c r="O189" s="34"/>
      <c r="P189" s="37"/>
    </row>
    <row r="190" spans="1:16" s="46" customFormat="1" ht="15" customHeight="1" outlineLevel="1">
      <c r="A190" s="37"/>
      <c r="B190" s="38"/>
      <c r="C190" s="53"/>
      <c r="D190" s="47"/>
      <c r="E190" s="47"/>
      <c r="F190" s="459"/>
      <c r="G190" s="459"/>
      <c r="H190" s="459"/>
      <c r="I190" s="103"/>
      <c r="J190" s="103"/>
      <c r="K190" s="103"/>
      <c r="L190" s="103"/>
      <c r="M190" s="103"/>
      <c r="N190" s="103"/>
      <c r="O190" s="34"/>
      <c r="P190" s="37"/>
    </row>
    <row r="191" spans="1:16" s="46" customFormat="1" ht="15" customHeight="1" outlineLevel="1">
      <c r="A191" s="37"/>
      <c r="B191" s="42" t="s">
        <v>235</v>
      </c>
      <c r="C191" s="40"/>
      <c r="D191" s="422"/>
      <c r="E191" s="112"/>
      <c r="F191" s="482"/>
      <c r="G191" s="482"/>
      <c r="H191" s="482"/>
      <c r="I191" s="134"/>
      <c r="J191" s="134"/>
      <c r="K191" s="134"/>
      <c r="L191" s="134"/>
      <c r="M191" s="134"/>
      <c r="N191" s="134"/>
      <c r="O191" s="34"/>
      <c r="P191" s="37"/>
    </row>
    <row r="192" spans="1:16" s="46" customFormat="1" ht="15" customHeight="1" outlineLevel="1">
      <c r="A192" s="37"/>
      <c r="B192" s="38"/>
      <c r="C192" s="40"/>
      <c r="D192" s="422"/>
      <c r="E192" s="112"/>
      <c r="F192" s="134"/>
      <c r="G192" s="134"/>
      <c r="H192" s="134"/>
      <c r="I192" s="134"/>
      <c r="J192" s="134"/>
      <c r="K192" s="134"/>
      <c r="L192" s="134"/>
      <c r="M192" s="134"/>
      <c r="N192" s="440"/>
      <c r="O192" s="256"/>
      <c r="P192" s="37"/>
    </row>
    <row r="193" spans="1:16" s="46" customFormat="1" ht="15" customHeight="1" outlineLevel="1">
      <c r="A193" s="37"/>
      <c r="B193" s="111" t="s">
        <v>234</v>
      </c>
      <c r="C193" s="53"/>
      <c r="D193" s="422" t="s">
        <v>225</v>
      </c>
      <c r="E193" s="47"/>
      <c r="F193" s="139">
        <v>495.84</v>
      </c>
      <c r="G193" s="139">
        <v>466.84</v>
      </c>
      <c r="H193" s="139">
        <v>445.44</v>
      </c>
      <c r="I193" s="138">
        <f t="shared" ref="I193:L195" si="73">H193*(1+I$189)</f>
        <v>456.13056</v>
      </c>
      <c r="J193" s="138">
        <f t="shared" si="73"/>
        <v>467.53382399999998</v>
      </c>
      <c r="K193" s="138">
        <f t="shared" si="73"/>
        <v>478.28710195199994</v>
      </c>
      <c r="L193" s="138">
        <f t="shared" si="73"/>
        <v>488.80941819494393</v>
      </c>
      <c r="M193" s="138">
        <f t="shared" ref="M193:N195" si="74">L193*(1+M$189)</f>
        <v>499.07441597703769</v>
      </c>
      <c r="N193" s="481">
        <f t="shared" si="74"/>
        <v>509.05590429657843</v>
      </c>
      <c r="O193" s="256"/>
      <c r="P193" s="37"/>
    </row>
    <row r="194" spans="1:16" s="46" customFormat="1" ht="15" customHeight="1" outlineLevel="1">
      <c r="A194" s="37"/>
      <c r="B194" s="111" t="s">
        <v>233</v>
      </c>
      <c r="C194" s="53"/>
      <c r="D194" s="422" t="s">
        <v>225</v>
      </c>
      <c r="E194" s="47"/>
      <c r="F194" s="139">
        <v>5</v>
      </c>
      <c r="G194" s="139">
        <v>5</v>
      </c>
      <c r="H194" s="139">
        <v>5</v>
      </c>
      <c r="I194" s="138">
        <f t="shared" si="73"/>
        <v>5.12</v>
      </c>
      <c r="J194" s="138">
        <f t="shared" si="73"/>
        <v>5.2479999999999993</v>
      </c>
      <c r="K194" s="138">
        <f t="shared" si="73"/>
        <v>5.3687039999999993</v>
      </c>
      <c r="L194" s="138">
        <f t="shared" si="73"/>
        <v>5.4868154879999995</v>
      </c>
      <c r="M194" s="138">
        <f t="shared" si="74"/>
        <v>5.6020386132479993</v>
      </c>
      <c r="N194" s="480">
        <f t="shared" si="74"/>
        <v>5.7140793855129592</v>
      </c>
      <c r="O194" s="256"/>
      <c r="P194" s="37"/>
    </row>
    <row r="195" spans="1:16" s="46" customFormat="1" ht="15" customHeight="1" outlineLevel="1">
      <c r="A195" s="37"/>
      <c r="B195" s="111" t="s">
        <v>232</v>
      </c>
      <c r="C195" s="53"/>
      <c r="D195" s="422" t="s">
        <v>225</v>
      </c>
      <c r="E195" s="47"/>
      <c r="F195" s="479">
        <v>13</v>
      </c>
      <c r="G195" s="479">
        <v>13</v>
      </c>
      <c r="H195" s="479">
        <v>13</v>
      </c>
      <c r="I195" s="478">
        <f t="shared" si="73"/>
        <v>13.312000000000001</v>
      </c>
      <c r="J195" s="478">
        <f t="shared" si="73"/>
        <v>13.6448</v>
      </c>
      <c r="K195" s="478">
        <f t="shared" si="73"/>
        <v>13.958630399999999</v>
      </c>
      <c r="L195" s="478">
        <f t="shared" si="73"/>
        <v>14.265720268799999</v>
      </c>
      <c r="M195" s="478">
        <f t="shared" si="74"/>
        <v>14.565300394444797</v>
      </c>
      <c r="N195" s="477">
        <f t="shared" si="74"/>
        <v>14.856606402333693</v>
      </c>
      <c r="O195" s="37"/>
      <c r="P195" s="37"/>
    </row>
    <row r="196" spans="1:16" s="46" customFormat="1" ht="15" customHeight="1" outlineLevel="1">
      <c r="A196" s="37"/>
      <c r="B196" s="111" t="s">
        <v>227</v>
      </c>
      <c r="C196" s="40"/>
      <c r="D196" s="422"/>
      <c r="E196" s="112"/>
      <c r="F196" s="137">
        <f t="shared" ref="F196:L196" si="75">SUM(F193:F195)</f>
        <v>513.83999999999992</v>
      </c>
      <c r="G196" s="137">
        <f t="shared" si="75"/>
        <v>484.84</v>
      </c>
      <c r="H196" s="137">
        <f t="shared" si="75"/>
        <v>463.44</v>
      </c>
      <c r="I196" s="137">
        <f t="shared" si="75"/>
        <v>474.56256000000002</v>
      </c>
      <c r="J196" s="137">
        <f t="shared" si="75"/>
        <v>486.42662399999995</v>
      </c>
      <c r="K196" s="137">
        <f t="shared" si="75"/>
        <v>497.61443635199993</v>
      </c>
      <c r="L196" s="137">
        <f t="shared" si="75"/>
        <v>508.56195395174393</v>
      </c>
      <c r="M196" s="137">
        <f>SUM(M193:M195)</f>
        <v>519.24175498473051</v>
      </c>
      <c r="N196" s="466">
        <f>SUM(N193:N195)</f>
        <v>529.62659008442506</v>
      </c>
      <c r="O196" s="37"/>
      <c r="P196" s="37"/>
    </row>
    <row r="197" spans="1:16" s="46" customFormat="1" ht="15" customHeight="1" outlineLevel="1">
      <c r="A197" s="37"/>
      <c r="B197" s="40"/>
      <c r="C197" s="40"/>
      <c r="D197" s="422"/>
      <c r="E197" s="112"/>
      <c r="F197" s="137"/>
      <c r="G197" s="137"/>
      <c r="H197" s="137"/>
      <c r="I197" s="137"/>
      <c r="J197" s="137"/>
      <c r="K197" s="137"/>
      <c r="L197" s="137"/>
      <c r="M197" s="137"/>
      <c r="N197" s="475"/>
      <c r="O197" s="37"/>
      <c r="P197" s="37"/>
    </row>
    <row r="198" spans="1:16" s="46" customFormat="1" ht="15" customHeight="1" outlineLevel="1">
      <c r="A198" s="37"/>
      <c r="B198" s="111" t="s">
        <v>234</v>
      </c>
      <c r="C198" s="53"/>
      <c r="D198" s="422"/>
      <c r="E198" s="47"/>
      <c r="F198" s="44">
        <f t="shared" ref="F198:L198" si="76">F193*F$188/1000</f>
        <v>192161.73834000004</v>
      </c>
      <c r="G198" s="44">
        <f t="shared" si="76"/>
        <v>187616.36920619998</v>
      </c>
      <c r="H198" s="44">
        <f t="shared" si="76"/>
        <v>196997.65516800003</v>
      </c>
      <c r="I198" s="44">
        <f t="shared" si="76"/>
        <v>210399.79964438934</v>
      </c>
      <c r="J198" s="44">
        <f t="shared" si="76"/>
        <v>222560.90806383506</v>
      </c>
      <c r="K198" s="44">
        <f t="shared" si="76"/>
        <v>231550.36570144139</v>
      </c>
      <c r="L198" s="44">
        <f t="shared" si="76"/>
        <v>240430.78532682307</v>
      </c>
      <c r="M198" s="44">
        <f t="shared" ref="M198:N200" si="77">M193*M$188/1000</f>
        <v>249407.50912778534</v>
      </c>
      <c r="N198" s="328">
        <f t="shared" si="77"/>
        <v>256939.61590344447</v>
      </c>
      <c r="O198" s="37"/>
      <c r="P198" s="37"/>
    </row>
    <row r="199" spans="1:16" s="46" customFormat="1" ht="15" customHeight="1" outlineLevel="1">
      <c r="A199" s="37"/>
      <c r="B199" s="111" t="s">
        <v>233</v>
      </c>
      <c r="C199" s="53"/>
      <c r="D199" s="422"/>
      <c r="E199" s="47"/>
      <c r="F199" s="44">
        <f t="shared" ref="F199:L199" si="78">F194*F$188/1000</f>
        <v>1937.7393750000003</v>
      </c>
      <c r="G199" s="44">
        <f t="shared" si="78"/>
        <v>2009.4290249999999</v>
      </c>
      <c r="H199" s="44">
        <f t="shared" si="78"/>
        <v>2211.2703750000001</v>
      </c>
      <c r="I199" s="44">
        <f t="shared" si="78"/>
        <v>2361.7075211519996</v>
      </c>
      <c r="J199" s="44">
        <f t="shared" si="78"/>
        <v>2498.2142158745855</v>
      </c>
      <c r="K199" s="44">
        <f t="shared" si="78"/>
        <v>2599.1195862679751</v>
      </c>
      <c r="L199" s="44">
        <f t="shared" si="78"/>
        <v>2698.8010206405252</v>
      </c>
      <c r="M199" s="44">
        <f t="shared" si="77"/>
        <v>2799.5634555471597</v>
      </c>
      <c r="N199" s="328">
        <f t="shared" si="77"/>
        <v>2884.1102719046839</v>
      </c>
      <c r="O199" s="37"/>
      <c r="P199" s="37"/>
    </row>
    <row r="200" spans="1:16" s="46" customFormat="1" ht="15" customHeight="1" outlineLevel="1">
      <c r="A200" s="37"/>
      <c r="B200" s="111" t="s">
        <v>232</v>
      </c>
      <c r="C200" s="53"/>
      <c r="D200" s="422"/>
      <c r="E200" s="47"/>
      <c r="F200" s="267">
        <f t="shared" ref="F200:L200" si="79">F195*F$188/1000</f>
        <v>5038.1223750000008</v>
      </c>
      <c r="G200" s="267">
        <f t="shared" si="79"/>
        <v>5224.5154649999995</v>
      </c>
      <c r="H200" s="267">
        <f t="shared" si="79"/>
        <v>5749.3029750000005</v>
      </c>
      <c r="I200" s="267">
        <f t="shared" si="79"/>
        <v>6140.4395549951996</v>
      </c>
      <c r="J200" s="267">
        <f t="shared" si="79"/>
        <v>6495.3569612739229</v>
      </c>
      <c r="K200" s="267">
        <f t="shared" si="79"/>
        <v>6757.7109242967354</v>
      </c>
      <c r="L200" s="267">
        <f t="shared" si="79"/>
        <v>7016.8826536653651</v>
      </c>
      <c r="M200" s="267">
        <f t="shared" si="77"/>
        <v>7278.8649844226147</v>
      </c>
      <c r="N200" s="328">
        <f t="shared" si="77"/>
        <v>7498.6867069521777</v>
      </c>
      <c r="O200" s="37"/>
      <c r="P200" s="37"/>
    </row>
    <row r="201" spans="1:16" s="46" customFormat="1" ht="15" customHeight="1" outlineLevel="1">
      <c r="A201" s="37"/>
      <c r="B201" s="111" t="s">
        <v>227</v>
      </c>
      <c r="C201" s="40"/>
      <c r="D201" s="422"/>
      <c r="E201" s="112"/>
      <c r="F201" s="44">
        <f t="shared" ref="F201:L201" si="80">SUM(F198:F200)</f>
        <v>199137.60009000005</v>
      </c>
      <c r="G201" s="44">
        <f t="shared" si="80"/>
        <v>194850.31369619997</v>
      </c>
      <c r="H201" s="44">
        <f t="shared" si="80"/>
        <v>204958.22851800002</v>
      </c>
      <c r="I201" s="44">
        <f t="shared" si="80"/>
        <v>218901.94672053654</v>
      </c>
      <c r="J201" s="44">
        <f t="shared" si="80"/>
        <v>231554.47924098355</v>
      </c>
      <c r="K201" s="44">
        <f t="shared" si="80"/>
        <v>240907.19621200609</v>
      </c>
      <c r="L201" s="44">
        <f t="shared" si="80"/>
        <v>250146.46900112898</v>
      </c>
      <c r="M201" s="44">
        <f>SUM(M198:M200)</f>
        <v>259485.93756775509</v>
      </c>
      <c r="N201" s="312">
        <f>SUM(N198:N200)</f>
        <v>267322.41288230132</v>
      </c>
      <c r="O201" s="256"/>
      <c r="P201" s="37"/>
    </row>
    <row r="202" spans="1:16" s="46" customFormat="1" ht="15" customHeight="1" outlineLevel="1">
      <c r="A202" s="37"/>
      <c r="B202" s="465"/>
      <c r="C202" s="423"/>
      <c r="D202" s="464"/>
      <c r="E202" s="317"/>
      <c r="F202" s="471"/>
      <c r="G202" s="471"/>
      <c r="H202" s="471"/>
      <c r="I202" s="471"/>
      <c r="J202" s="471"/>
      <c r="K202" s="471"/>
      <c r="L202" s="471"/>
      <c r="M202" s="471"/>
      <c r="N202" s="471"/>
      <c r="O202" s="256"/>
      <c r="P202" s="37"/>
    </row>
    <row r="203" spans="1:16" s="46" customFormat="1" ht="15" customHeight="1" outlineLevel="1">
      <c r="A203" s="37"/>
      <c r="B203" s="38"/>
      <c r="C203" s="40"/>
      <c r="D203" s="422"/>
      <c r="E203" s="112"/>
      <c r="F203" s="134"/>
      <c r="G203" s="134"/>
      <c r="H203" s="134"/>
      <c r="I203" s="134"/>
      <c r="J203" s="134"/>
      <c r="K203" s="134"/>
      <c r="L203" s="134"/>
      <c r="M203" s="134"/>
      <c r="N203" s="134"/>
      <c r="O203" s="256"/>
      <c r="P203" s="37"/>
    </row>
    <row r="204" spans="1:16" s="46" customFormat="1" ht="15" customHeight="1" outlineLevel="1">
      <c r="A204" s="37"/>
      <c r="B204" s="42" t="s">
        <v>231</v>
      </c>
      <c r="C204" s="40"/>
      <c r="D204" s="422"/>
      <c r="E204" s="112"/>
      <c r="F204" s="134"/>
      <c r="G204" s="134"/>
      <c r="H204" s="134"/>
      <c r="I204" s="134"/>
      <c r="J204" s="134"/>
      <c r="K204" s="134"/>
      <c r="L204" s="134"/>
      <c r="M204" s="134"/>
      <c r="N204" s="440"/>
      <c r="O204" s="256"/>
      <c r="P204" s="37"/>
    </row>
    <row r="205" spans="1:16" s="46" customFormat="1" ht="15" customHeight="1" outlineLevel="1">
      <c r="A205" s="37"/>
      <c r="B205" s="476"/>
      <c r="C205" s="40"/>
      <c r="D205" s="422"/>
      <c r="E205" s="112"/>
      <c r="F205" s="134"/>
      <c r="G205" s="134"/>
      <c r="H205" s="134"/>
      <c r="I205" s="134"/>
      <c r="J205" s="134"/>
      <c r="K205" s="134"/>
      <c r="L205" s="134"/>
      <c r="M205" s="134"/>
      <c r="N205" s="440"/>
      <c r="O205" s="256"/>
      <c r="P205" s="37"/>
    </row>
    <row r="206" spans="1:16" s="46" customFormat="1" ht="15" customHeight="1" outlineLevel="1">
      <c r="A206" s="37"/>
      <c r="B206" s="111" t="s">
        <v>230</v>
      </c>
      <c r="C206" s="53"/>
      <c r="D206" s="422" t="s">
        <v>225</v>
      </c>
      <c r="E206" s="47"/>
      <c r="F206" s="137">
        <f t="shared" ref="F206:L206" si="81">(F211*1000)/F$188</f>
        <v>28.381009701059511</v>
      </c>
      <c r="G206" s="137">
        <f t="shared" si="81"/>
        <v>28.620070320722078</v>
      </c>
      <c r="H206" s="137">
        <f t="shared" si="81"/>
        <v>27.138246267148585</v>
      </c>
      <c r="I206" s="137">
        <f t="shared" si="81"/>
        <v>26.643877447325174</v>
      </c>
      <c r="J206" s="137">
        <f t="shared" si="81"/>
        <v>26.46315347239176</v>
      </c>
      <c r="K206" s="137">
        <f t="shared" si="81"/>
        <v>26.619278271638908</v>
      </c>
      <c r="L206" s="137">
        <f t="shared" si="81"/>
        <v>26.776478733872999</v>
      </c>
      <c r="M206" s="137">
        <f t="shared" ref="M206:N208" si="82">(M211*1000)/M$188</f>
        <v>26.908252743390086</v>
      </c>
      <c r="N206" s="469">
        <f t="shared" si="82"/>
        <v>27.174671087384045</v>
      </c>
      <c r="O206" s="256"/>
      <c r="P206" s="37"/>
    </row>
    <row r="207" spans="1:16" s="46" customFormat="1" ht="15" customHeight="1" outlineLevel="1">
      <c r="A207" s="37"/>
      <c r="B207" s="111" t="s">
        <v>229</v>
      </c>
      <c r="C207" s="53"/>
      <c r="D207" s="422" t="s">
        <v>225</v>
      </c>
      <c r="E207" s="47"/>
      <c r="F207" s="137">
        <f t="shared" ref="F207:L207" si="83">(F212*1000)/F$188</f>
        <v>6.450815915324009</v>
      </c>
      <c r="G207" s="137">
        <f t="shared" si="83"/>
        <v>6.3450860126796469</v>
      </c>
      <c r="H207" s="137">
        <f t="shared" si="83"/>
        <v>5.8789735289606995</v>
      </c>
      <c r="I207" s="137">
        <f t="shared" si="83"/>
        <v>5.771878133898138</v>
      </c>
      <c r="J207" s="137">
        <f t="shared" si="83"/>
        <v>5.7327277977185949</v>
      </c>
      <c r="K207" s="137">
        <f t="shared" si="83"/>
        <v>5.766549200654989</v>
      </c>
      <c r="L207" s="137">
        <f t="shared" si="83"/>
        <v>5.8006036250683053</v>
      </c>
      <c r="M207" s="137">
        <f t="shared" si="82"/>
        <v>5.8291499027507276</v>
      </c>
      <c r="N207" s="466">
        <f t="shared" si="82"/>
        <v>5.8868642582235058</v>
      </c>
      <c r="O207" s="256"/>
      <c r="P207" s="37"/>
    </row>
    <row r="208" spans="1:16" s="46" customFormat="1" ht="15" customHeight="1" outlineLevel="1">
      <c r="A208" s="37"/>
      <c r="B208" s="111" t="s">
        <v>228</v>
      </c>
      <c r="C208" s="53"/>
      <c r="D208" s="422" t="s">
        <v>225</v>
      </c>
      <c r="E208" s="47"/>
      <c r="F208" s="468">
        <f t="shared" ref="F208:L208" si="84">(F213*1000)/F$188</f>
        <v>3.8704895491944056</v>
      </c>
      <c r="G208" s="468">
        <f t="shared" si="84"/>
        <v>3.6079900856413678</v>
      </c>
      <c r="H208" s="468">
        <f t="shared" si="84"/>
        <v>3.1656011309788381</v>
      </c>
      <c r="I208" s="468">
        <f t="shared" si="84"/>
        <v>3.1079343797913057</v>
      </c>
      <c r="J208" s="468">
        <f t="shared" si="84"/>
        <v>3.0868534295407821</v>
      </c>
      <c r="K208" s="468">
        <f t="shared" si="84"/>
        <v>3.1050649541988404</v>
      </c>
      <c r="L208" s="468">
        <f t="shared" si="84"/>
        <v>3.123401951959857</v>
      </c>
      <c r="M208" s="468">
        <f t="shared" si="82"/>
        <v>3.1387730245580845</v>
      </c>
      <c r="N208" s="467">
        <f t="shared" si="82"/>
        <v>3.1698499851972732</v>
      </c>
      <c r="O208" s="256"/>
      <c r="P208" s="37"/>
    </row>
    <row r="209" spans="1:81" s="46" customFormat="1" ht="15" customHeight="1" outlineLevel="1">
      <c r="A209" s="37"/>
      <c r="B209" s="111" t="s">
        <v>227</v>
      </c>
      <c r="C209" s="40"/>
      <c r="D209" s="422"/>
      <c r="E209" s="112"/>
      <c r="F209" s="137">
        <f t="shared" ref="F209:L209" si="85">SUM(F206:F208)</f>
        <v>38.702315165577922</v>
      </c>
      <c r="G209" s="137">
        <f t="shared" si="85"/>
        <v>38.573146419043091</v>
      </c>
      <c r="H209" s="137">
        <f t="shared" si="85"/>
        <v>36.182820927088123</v>
      </c>
      <c r="I209" s="137">
        <f t="shared" si="85"/>
        <v>35.523689961014611</v>
      </c>
      <c r="J209" s="137">
        <f t="shared" si="85"/>
        <v>35.282734699651137</v>
      </c>
      <c r="K209" s="137">
        <f t="shared" si="85"/>
        <v>35.490892426492735</v>
      </c>
      <c r="L209" s="137">
        <f t="shared" si="85"/>
        <v>35.70048431090116</v>
      </c>
      <c r="M209" s="137">
        <f>SUM(M206:M208)</f>
        <v>35.876175670698899</v>
      </c>
      <c r="N209" s="466">
        <f>SUM(N206:N208)</f>
        <v>36.231385330804827</v>
      </c>
      <c r="O209" s="256"/>
      <c r="P209" s="37"/>
    </row>
    <row r="210" spans="1:81" s="46" customFormat="1" ht="15" customHeight="1" outlineLevel="1">
      <c r="A210" s="37"/>
      <c r="B210" s="40"/>
      <c r="C210" s="40"/>
      <c r="D210" s="422"/>
      <c r="E210" s="112"/>
      <c r="F210" s="134"/>
      <c r="G210" s="134"/>
      <c r="H210" s="134"/>
      <c r="I210" s="134"/>
      <c r="J210" s="134"/>
      <c r="K210" s="134"/>
      <c r="L210" s="134"/>
      <c r="M210" s="134"/>
      <c r="N210" s="475"/>
      <c r="O210" s="256"/>
      <c r="P210" s="37"/>
    </row>
    <row r="211" spans="1:81" ht="15" customHeight="1" outlineLevel="1">
      <c r="A211" s="37"/>
      <c r="B211" s="111" t="s">
        <v>230</v>
      </c>
      <c r="C211" s="53"/>
      <c r="D211" s="269"/>
      <c r="E211" s="47"/>
      <c r="F211" s="269">
        <v>10999</v>
      </c>
      <c r="G211" s="269">
        <v>11502</v>
      </c>
      <c r="H211" s="269">
        <v>12002</v>
      </c>
      <c r="I211" s="358">
        <f t="shared" ref="I211:N213" si="86">H211*(1+I$189)</f>
        <v>12290.048000000001</v>
      </c>
      <c r="J211" s="358">
        <f t="shared" si="86"/>
        <v>12597.299199999999</v>
      </c>
      <c r="K211" s="358">
        <f t="shared" si="86"/>
        <v>12887.037081599998</v>
      </c>
      <c r="L211" s="358">
        <f t="shared" si="86"/>
        <v>13170.551897395198</v>
      </c>
      <c r="M211" s="358">
        <f>L211*(1+M$189)</f>
        <v>13447.133487240497</v>
      </c>
      <c r="N211" s="473">
        <f>M211*(1+N$189)</f>
        <v>13716.076156985308</v>
      </c>
      <c r="O211" s="256"/>
      <c r="P211" s="37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</row>
    <row r="212" spans="1:81" s="46" customFormat="1" ht="15" customHeight="1" outlineLevel="1">
      <c r="A212" s="37"/>
      <c r="B212" s="111" t="s">
        <v>229</v>
      </c>
      <c r="C212" s="53"/>
      <c r="D212" s="422"/>
      <c r="E212" s="47"/>
      <c r="F212" s="269">
        <v>2500</v>
      </c>
      <c r="G212" s="269">
        <v>2550</v>
      </c>
      <c r="H212" s="269">
        <v>2600</v>
      </c>
      <c r="I212" s="358">
        <f t="shared" si="86"/>
        <v>2662.4</v>
      </c>
      <c r="J212" s="358">
        <f t="shared" si="86"/>
        <v>2728.96</v>
      </c>
      <c r="K212" s="358">
        <f t="shared" si="86"/>
        <v>2791.7260799999999</v>
      </c>
      <c r="L212" s="358">
        <f t="shared" si="86"/>
        <v>2853.1440537600001</v>
      </c>
      <c r="M212" s="358">
        <f>L212*(1+M$189)</f>
        <v>2913.0600788889597</v>
      </c>
      <c r="N212" s="473">
        <f t="shared" si="86"/>
        <v>2971.3212804667387</v>
      </c>
      <c r="O212" s="256"/>
      <c r="P212" s="37"/>
    </row>
    <row r="213" spans="1:81" s="46" customFormat="1" ht="15" customHeight="1" outlineLevel="1">
      <c r="A213" s="37"/>
      <c r="B213" s="111" t="s">
        <v>228</v>
      </c>
      <c r="C213" s="53"/>
      <c r="D213" s="422"/>
      <c r="E213" s="47"/>
      <c r="F213" s="268">
        <v>1500</v>
      </c>
      <c r="G213" s="268">
        <v>1450</v>
      </c>
      <c r="H213" s="268">
        <v>1400</v>
      </c>
      <c r="I213" s="474">
        <f t="shared" si="86"/>
        <v>1433.6000000000001</v>
      </c>
      <c r="J213" s="474">
        <f t="shared" si="86"/>
        <v>1469.44</v>
      </c>
      <c r="K213" s="474">
        <f t="shared" si="86"/>
        <v>1503.23712</v>
      </c>
      <c r="L213" s="474">
        <f t="shared" si="86"/>
        <v>1536.3083366400001</v>
      </c>
      <c r="M213" s="474">
        <f>L213*(1+M$189)</f>
        <v>1568.57081170944</v>
      </c>
      <c r="N213" s="473">
        <f>M213*(1+N$189)</f>
        <v>1599.942227943629</v>
      </c>
      <c r="O213" s="256"/>
      <c r="P213" s="37"/>
    </row>
    <row r="214" spans="1:81" s="46" customFormat="1" ht="15" customHeight="1" outlineLevel="1">
      <c r="A214" s="37"/>
      <c r="B214" s="111" t="s">
        <v>227</v>
      </c>
      <c r="C214" s="40"/>
      <c r="D214" s="422"/>
      <c r="E214" s="112"/>
      <c r="F214" s="44">
        <f t="shared" ref="F214:L214" si="87">SUM(F211:F213)</f>
        <v>14999</v>
      </c>
      <c r="G214" s="44">
        <f t="shared" si="87"/>
        <v>15502</v>
      </c>
      <c r="H214" s="44">
        <f t="shared" si="87"/>
        <v>16002</v>
      </c>
      <c r="I214" s="44">
        <f t="shared" si="87"/>
        <v>16386.047999999999</v>
      </c>
      <c r="J214" s="44">
        <f t="shared" si="87"/>
        <v>16795.699199999999</v>
      </c>
      <c r="K214" s="44">
        <f t="shared" si="87"/>
        <v>17182.000281599998</v>
      </c>
      <c r="L214" s="44">
        <f t="shared" si="87"/>
        <v>17560.004287795196</v>
      </c>
      <c r="M214" s="44">
        <f>SUM(M211:M213)</f>
        <v>17928.764377838896</v>
      </c>
      <c r="N214" s="312">
        <f>SUM(N211:N213)</f>
        <v>18287.339665395677</v>
      </c>
      <c r="O214" s="256"/>
      <c r="P214" s="37"/>
    </row>
    <row r="215" spans="1:81" s="46" customFormat="1" ht="15" customHeight="1" outlineLevel="1">
      <c r="A215" s="37"/>
      <c r="B215" s="465"/>
      <c r="C215" s="423"/>
      <c r="D215" s="464"/>
      <c r="E215" s="317"/>
      <c r="F215" s="471"/>
      <c r="G215" s="472"/>
      <c r="H215" s="472"/>
      <c r="I215" s="471"/>
      <c r="J215" s="471"/>
      <c r="K215" s="471"/>
      <c r="L215" s="471"/>
      <c r="M215" s="471"/>
      <c r="N215" s="471"/>
      <c r="O215" s="256"/>
      <c r="P215" s="37"/>
    </row>
    <row r="216" spans="1:81" s="46" customFormat="1" ht="15" customHeight="1" outlineLevel="1">
      <c r="A216" s="37"/>
      <c r="B216" s="38"/>
      <c r="C216" s="40"/>
      <c r="D216" s="422"/>
      <c r="E216" s="112"/>
      <c r="F216" s="134"/>
      <c r="G216" s="470"/>
      <c r="H216" s="470"/>
      <c r="I216" s="134"/>
      <c r="J216" s="134"/>
      <c r="K216" s="134"/>
      <c r="L216" s="134"/>
      <c r="M216" s="134"/>
      <c r="N216" s="134"/>
      <c r="O216" s="256"/>
    </row>
    <row r="217" spans="1:81" s="46" customFormat="1" ht="15" customHeight="1" outlineLevel="1">
      <c r="A217" s="37"/>
      <c r="B217" s="42" t="s">
        <v>226</v>
      </c>
      <c r="C217" s="40"/>
      <c r="D217" s="422"/>
      <c r="E217" s="112"/>
      <c r="F217" s="134"/>
      <c r="G217" s="134"/>
      <c r="H217" s="134"/>
      <c r="I217" s="134"/>
      <c r="J217" s="37"/>
      <c r="K217" s="37"/>
      <c r="L217" s="37"/>
      <c r="M217" s="37"/>
      <c r="N217" s="37"/>
      <c r="O217" s="34"/>
      <c r="P217" s="37"/>
    </row>
    <row r="218" spans="1:81" s="46" customFormat="1" ht="15" customHeight="1" outlineLevel="1">
      <c r="A218" s="37"/>
      <c r="B218" s="42"/>
      <c r="C218" s="40"/>
      <c r="D218" s="422"/>
      <c r="E218" s="112"/>
      <c r="F218" s="134"/>
      <c r="G218" s="134"/>
      <c r="H218" s="134"/>
      <c r="I218" s="134"/>
      <c r="J218" s="134"/>
      <c r="K218" s="134"/>
      <c r="L218" s="134"/>
      <c r="M218" s="134"/>
      <c r="N218" s="440"/>
      <c r="O218" s="256"/>
      <c r="P218" s="37"/>
    </row>
    <row r="219" spans="1:81" s="46" customFormat="1" ht="15" customHeight="1" outlineLevel="1">
      <c r="A219" s="37"/>
      <c r="B219" s="111" t="s">
        <v>224</v>
      </c>
      <c r="C219" s="40"/>
      <c r="D219" s="422" t="s">
        <v>225</v>
      </c>
      <c r="E219" s="112"/>
      <c r="F219" s="137">
        <f t="shared" ref="F219:L219" si="88">F196</f>
        <v>513.83999999999992</v>
      </c>
      <c r="G219" s="137">
        <f t="shared" si="88"/>
        <v>484.84</v>
      </c>
      <c r="H219" s="137">
        <f t="shared" si="88"/>
        <v>463.44</v>
      </c>
      <c r="I219" s="137">
        <f t="shared" si="88"/>
        <v>474.56256000000002</v>
      </c>
      <c r="J219" s="137">
        <f t="shared" si="88"/>
        <v>486.42662399999995</v>
      </c>
      <c r="K219" s="137">
        <f t="shared" si="88"/>
        <v>497.61443635199993</v>
      </c>
      <c r="L219" s="137">
        <f t="shared" si="88"/>
        <v>508.56195395174393</v>
      </c>
      <c r="M219" s="137">
        <f>M196</f>
        <v>519.24175498473051</v>
      </c>
      <c r="N219" s="469">
        <f>N196</f>
        <v>529.62659008442506</v>
      </c>
      <c r="O219" s="256"/>
      <c r="P219" s="37"/>
    </row>
    <row r="220" spans="1:81" s="46" customFormat="1" ht="15" customHeight="1" outlineLevel="1">
      <c r="A220" s="37"/>
      <c r="B220" s="111" t="s">
        <v>223</v>
      </c>
      <c r="C220" s="40"/>
      <c r="D220" s="422" t="s">
        <v>225</v>
      </c>
      <c r="E220" s="112"/>
      <c r="F220" s="468">
        <f t="shared" ref="F220:L220" si="89">F209</f>
        <v>38.702315165577922</v>
      </c>
      <c r="G220" s="468">
        <f t="shared" si="89"/>
        <v>38.573146419043091</v>
      </c>
      <c r="H220" s="468">
        <f t="shared" si="89"/>
        <v>36.182820927088123</v>
      </c>
      <c r="I220" s="468">
        <f t="shared" si="89"/>
        <v>35.523689961014611</v>
      </c>
      <c r="J220" s="468">
        <f t="shared" si="89"/>
        <v>35.282734699651137</v>
      </c>
      <c r="K220" s="468">
        <f t="shared" si="89"/>
        <v>35.490892426492735</v>
      </c>
      <c r="L220" s="468">
        <f t="shared" si="89"/>
        <v>35.70048431090116</v>
      </c>
      <c r="M220" s="468">
        <f>M209</f>
        <v>35.876175670698899</v>
      </c>
      <c r="N220" s="467">
        <f>N209</f>
        <v>36.231385330804827</v>
      </c>
      <c r="O220" s="34"/>
    </row>
    <row r="221" spans="1:81" s="46" customFormat="1" ht="15" customHeight="1" outlineLevel="1">
      <c r="A221" s="37"/>
      <c r="B221" s="111" t="s">
        <v>222</v>
      </c>
      <c r="C221" s="40"/>
      <c r="D221" s="422" t="s">
        <v>225</v>
      </c>
      <c r="E221" s="112"/>
      <c r="F221" s="137">
        <f t="shared" ref="F221:L221" si="90">SUM(F219:F220)</f>
        <v>552.54231516557786</v>
      </c>
      <c r="G221" s="137">
        <f t="shared" si="90"/>
        <v>523.41314641904307</v>
      </c>
      <c r="H221" s="137">
        <f t="shared" si="90"/>
        <v>499.62282092708813</v>
      </c>
      <c r="I221" s="137">
        <f t="shared" si="90"/>
        <v>510.08624996101463</v>
      </c>
      <c r="J221" s="137">
        <f t="shared" si="90"/>
        <v>521.70935869965103</v>
      </c>
      <c r="K221" s="137">
        <f t="shared" si="90"/>
        <v>533.10532877849266</v>
      </c>
      <c r="L221" s="137">
        <f t="shared" si="90"/>
        <v>544.26243826264511</v>
      </c>
      <c r="M221" s="137">
        <f>SUM(M219:M220)</f>
        <v>555.1179306554294</v>
      </c>
      <c r="N221" s="466">
        <f>SUM(N219:N220)</f>
        <v>565.85797541522993</v>
      </c>
    </row>
    <row r="222" spans="1:81" s="46" customFormat="1" ht="15" customHeight="1" outlineLevel="1">
      <c r="A222" s="37"/>
      <c r="B222" s="38"/>
      <c r="C222" s="40"/>
      <c r="D222" s="422"/>
      <c r="E222" s="112"/>
      <c r="F222" s="137"/>
      <c r="G222" s="137"/>
      <c r="H222" s="137"/>
      <c r="I222" s="137"/>
      <c r="J222" s="137"/>
      <c r="K222" s="137"/>
      <c r="L222" s="137"/>
      <c r="M222" s="137"/>
      <c r="N222" s="466"/>
    </row>
    <row r="223" spans="1:81" s="46" customFormat="1" ht="15" customHeight="1" outlineLevel="1">
      <c r="A223" s="37"/>
      <c r="B223" s="111" t="s">
        <v>224</v>
      </c>
      <c r="C223" s="40"/>
      <c r="D223" s="422"/>
      <c r="E223" s="112"/>
      <c r="F223" s="44">
        <f t="shared" ref="F223:L223" si="91">F201</f>
        <v>199137.60009000005</v>
      </c>
      <c r="G223" s="44">
        <f t="shared" si="91"/>
        <v>194850.31369619997</v>
      </c>
      <c r="H223" s="44">
        <f t="shared" si="91"/>
        <v>204958.22851800002</v>
      </c>
      <c r="I223" s="44">
        <f t="shared" si="91"/>
        <v>218901.94672053654</v>
      </c>
      <c r="J223" s="44">
        <f t="shared" si="91"/>
        <v>231554.47924098355</v>
      </c>
      <c r="K223" s="44">
        <f t="shared" si="91"/>
        <v>240907.19621200609</v>
      </c>
      <c r="L223" s="44">
        <f t="shared" si="91"/>
        <v>250146.46900112898</v>
      </c>
      <c r="M223" s="44">
        <f>M201</f>
        <v>259485.93756775509</v>
      </c>
      <c r="N223" s="328">
        <f>N201</f>
        <v>267322.41288230132</v>
      </c>
      <c r="P223" s="27"/>
    </row>
    <row r="224" spans="1:81" s="46" customFormat="1" ht="15" customHeight="1" outlineLevel="1">
      <c r="A224" s="37"/>
      <c r="B224" s="111" t="s">
        <v>223</v>
      </c>
      <c r="C224" s="40"/>
      <c r="D224" s="422"/>
      <c r="E224" s="112"/>
      <c r="F224" s="44">
        <f t="shared" ref="F224:L224" si="92">F214</f>
        <v>14999</v>
      </c>
      <c r="G224" s="44">
        <f t="shared" si="92"/>
        <v>15502</v>
      </c>
      <c r="H224" s="44">
        <f t="shared" si="92"/>
        <v>16002</v>
      </c>
      <c r="I224" s="44">
        <f t="shared" si="92"/>
        <v>16386.047999999999</v>
      </c>
      <c r="J224" s="44">
        <f t="shared" si="92"/>
        <v>16795.699199999999</v>
      </c>
      <c r="K224" s="44">
        <f t="shared" si="92"/>
        <v>17182.000281599998</v>
      </c>
      <c r="L224" s="44">
        <f t="shared" si="92"/>
        <v>17560.004287795196</v>
      </c>
      <c r="M224" s="44">
        <f>M214</f>
        <v>17928.764377838896</v>
      </c>
      <c r="N224" s="328">
        <f>N214</f>
        <v>18287.339665395677</v>
      </c>
      <c r="O224" s="27"/>
    </row>
    <row r="225" spans="1:81" s="46" customFormat="1" ht="15" customHeight="1" outlineLevel="1" thickBot="1">
      <c r="A225" s="37"/>
      <c r="B225" s="111" t="s">
        <v>222</v>
      </c>
      <c r="C225" s="40"/>
      <c r="D225" s="422"/>
      <c r="E225" s="112"/>
      <c r="F225" s="327">
        <f t="shared" ref="F225:L225" si="93">SUM(F223:F224)</f>
        <v>214136.60009000005</v>
      </c>
      <c r="G225" s="327">
        <f>SUM(G223:G224)</f>
        <v>210352.31369619997</v>
      </c>
      <c r="H225" s="327">
        <f t="shared" si="93"/>
        <v>220960.22851800002</v>
      </c>
      <c r="I225" s="327">
        <f t="shared" si="93"/>
        <v>235287.99472053655</v>
      </c>
      <c r="J225" s="327">
        <f t="shared" si="93"/>
        <v>248350.17844098355</v>
      </c>
      <c r="K225" s="327">
        <f t="shared" si="93"/>
        <v>258089.19649360608</v>
      </c>
      <c r="L225" s="327">
        <f t="shared" si="93"/>
        <v>267706.4732889242</v>
      </c>
      <c r="M225" s="327">
        <f>SUM(M223:M224)</f>
        <v>277414.70194559399</v>
      </c>
      <c r="N225" s="326">
        <f>SUM(N223:N224)</f>
        <v>285609.75254769699</v>
      </c>
    </row>
    <row r="226" spans="1:81" s="46" customFormat="1" ht="15" customHeight="1" outlineLevel="1">
      <c r="A226" s="37"/>
      <c r="B226" s="42"/>
      <c r="C226" s="40"/>
      <c r="D226" s="422"/>
      <c r="E226" s="112"/>
      <c r="F226" s="44"/>
      <c r="G226" s="44"/>
      <c r="H226" s="44"/>
      <c r="I226" s="44"/>
      <c r="J226" s="44"/>
      <c r="K226" s="44"/>
      <c r="L226" s="44"/>
      <c r="M226" s="44"/>
      <c r="N226" s="44"/>
    </row>
    <row r="227" spans="1:81" s="46" customFormat="1" ht="15" customHeight="1" outlineLevel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</row>
    <row r="228" spans="1:81" s="46" customFormat="1" ht="15" customHeight="1" outlineLevel="1"/>
    <row r="229" spans="1:81" s="46" customFormat="1" ht="15" customHeight="1" outlineLevel="1">
      <c r="A229" s="37"/>
      <c r="B229" s="318"/>
      <c r="C229" s="318"/>
      <c r="D229" s="317"/>
      <c r="E229" s="317"/>
      <c r="F229" s="439"/>
      <c r="G229" s="439"/>
      <c r="H229" s="439"/>
      <c r="I229" s="439"/>
      <c r="J229" s="439"/>
      <c r="K229" s="439"/>
      <c r="L229" s="439"/>
      <c r="M229" s="439"/>
      <c r="N229" s="439"/>
    </row>
    <row r="230" spans="1:81" s="46" customFormat="1" ht="15" customHeight="1">
      <c r="A230" s="37"/>
      <c r="B230" s="38"/>
      <c r="C230" s="40"/>
      <c r="D230" s="422"/>
      <c r="E230" s="112"/>
      <c r="F230" s="134"/>
      <c r="G230" s="134"/>
      <c r="H230" s="134"/>
      <c r="I230" s="134"/>
      <c r="J230" s="134"/>
      <c r="K230" s="134"/>
      <c r="L230" s="134"/>
      <c r="M230" s="134"/>
      <c r="N230" s="134"/>
    </row>
    <row r="231" spans="1:81" s="46" customFormat="1" ht="15" customHeight="1">
      <c r="A231" s="46" t="s">
        <v>0</v>
      </c>
      <c r="B231" s="57" t="s">
        <v>212</v>
      </c>
      <c r="C231" s="56"/>
      <c r="D231" s="55"/>
      <c r="E231" s="55"/>
      <c r="F231" s="54"/>
      <c r="G231" s="54"/>
      <c r="H231" s="54"/>
      <c r="I231" s="54"/>
      <c r="J231" s="54"/>
      <c r="K231" s="54"/>
      <c r="L231" s="54"/>
      <c r="M231" s="54"/>
      <c r="N231" s="302"/>
      <c r="O231" s="409"/>
    </row>
    <row r="232" spans="1:81" s="46" customFormat="1" ht="15" customHeight="1" outlineLevel="1">
      <c r="B232" s="183"/>
      <c r="C232" s="53"/>
      <c r="D232" s="52"/>
      <c r="E232" s="52"/>
      <c r="F232" s="51"/>
      <c r="G232" s="51"/>
      <c r="H232" s="51"/>
      <c r="I232" s="51"/>
      <c r="J232" s="51"/>
      <c r="K232" s="51"/>
      <c r="L232" s="51"/>
      <c r="M232" s="51"/>
    </row>
    <row r="233" spans="1:81" s="46" customFormat="1" ht="15" customHeight="1" outlineLevel="1" thickBot="1">
      <c r="B233" s="43" t="s">
        <v>263</v>
      </c>
      <c r="C233" s="53"/>
      <c r="D233" s="47"/>
      <c r="E233" s="47"/>
      <c r="F233" s="354">
        <f t="shared" ref="F233:M233" si="94">F$141</f>
        <v>2023</v>
      </c>
      <c r="G233" s="354">
        <f t="shared" si="94"/>
        <v>2024</v>
      </c>
      <c r="H233" s="354">
        <f t="shared" si="94"/>
        <v>2025</v>
      </c>
      <c r="I233" s="234">
        <f t="shared" si="94"/>
        <v>2026</v>
      </c>
      <c r="J233" s="234">
        <f t="shared" si="94"/>
        <v>2027</v>
      </c>
      <c r="K233" s="234">
        <f t="shared" si="94"/>
        <v>2028</v>
      </c>
      <c r="L233" s="234">
        <f t="shared" si="94"/>
        <v>2029</v>
      </c>
      <c r="M233" s="234">
        <f t="shared" si="94"/>
        <v>2030</v>
      </c>
      <c r="N233" s="438" t="s">
        <v>103</v>
      </c>
    </row>
    <row r="234" spans="1:81" s="46" customFormat="1" ht="15" customHeight="1" outlineLevel="1">
      <c r="A234" s="37"/>
      <c r="B234" s="43" t="str">
        <f>$B$142</f>
        <v>Model Running: Base Case Drivers</v>
      </c>
      <c r="C234" s="53"/>
      <c r="D234" s="47"/>
      <c r="E234" s="47"/>
      <c r="F234" s="47"/>
      <c r="G234" s="47"/>
      <c r="H234" s="47"/>
      <c r="I234" s="49"/>
      <c r="J234" s="49"/>
      <c r="K234" s="49"/>
      <c r="L234" s="49"/>
      <c r="M234" s="49"/>
      <c r="N234" s="49"/>
    </row>
    <row r="235" spans="1:81" s="46" customFormat="1" ht="15" customHeight="1" outlineLevel="1">
      <c r="B235" s="43"/>
      <c r="C235" s="53"/>
      <c r="D235" s="47"/>
      <c r="E235" s="47"/>
      <c r="F235" s="47"/>
      <c r="G235" s="47"/>
      <c r="H235" s="47"/>
    </row>
    <row r="236" spans="1:81" s="46" customFormat="1" ht="15" customHeight="1" outlineLevel="1">
      <c r="A236" s="37"/>
      <c r="B236" s="111" t="s">
        <v>40</v>
      </c>
      <c r="C236" s="40"/>
      <c r="D236" s="422"/>
      <c r="E236" s="112"/>
      <c r="F236" s="353">
        <f t="shared" ref="F236:N236" si="95">F$144</f>
        <v>365</v>
      </c>
      <c r="G236" s="282">
        <f t="shared" si="95"/>
        <v>365</v>
      </c>
      <c r="H236" s="282">
        <f t="shared" si="95"/>
        <v>365</v>
      </c>
      <c r="I236" s="282">
        <f t="shared" si="95"/>
        <v>365</v>
      </c>
      <c r="J236" s="282">
        <f t="shared" si="95"/>
        <v>365</v>
      </c>
      <c r="K236" s="282">
        <f t="shared" si="95"/>
        <v>365</v>
      </c>
      <c r="L236" s="282">
        <f t="shared" si="95"/>
        <v>365</v>
      </c>
      <c r="M236" s="282">
        <f t="shared" si="95"/>
        <v>365</v>
      </c>
      <c r="N236" s="247">
        <f t="shared" si="95"/>
        <v>365</v>
      </c>
    </row>
    <row r="237" spans="1:81" s="46" customFormat="1" ht="15" customHeight="1" outlineLevel="1">
      <c r="A237" s="37"/>
      <c r="B237" s="111" t="s">
        <v>211</v>
      </c>
      <c r="C237" s="112"/>
      <c r="D237" s="112"/>
      <c r="E237" s="112"/>
      <c r="F237" s="428">
        <f t="shared" ref="F237:N237" si="96">F13</f>
        <v>383285</v>
      </c>
      <c r="G237" s="44">
        <f t="shared" si="96"/>
        <v>391035</v>
      </c>
      <c r="H237" s="44">
        <f t="shared" si="96"/>
        <v>416161</v>
      </c>
      <c r="I237" s="44">
        <f t="shared" si="96"/>
        <v>444907.41149201797</v>
      </c>
      <c r="J237" s="44">
        <f t="shared" si="96"/>
        <v>466031.61538965901</v>
      </c>
      <c r="K237" s="44">
        <f t="shared" si="96"/>
        <v>481063.46514405234</v>
      </c>
      <c r="L237" s="44">
        <f t="shared" si="96"/>
        <v>493648.0853922207</v>
      </c>
      <c r="M237" s="44">
        <f t="shared" si="96"/>
        <v>506561.91930608125</v>
      </c>
      <c r="N237" s="309">
        <f t="shared" si="96"/>
        <v>519301.95157662925</v>
      </c>
    </row>
    <row r="238" spans="1:81" s="46" customFormat="1" ht="15" customHeight="1" outlineLevel="1">
      <c r="A238" s="37"/>
      <c r="B238" s="111" t="s">
        <v>210</v>
      </c>
      <c r="C238" s="112"/>
      <c r="D238" s="112"/>
      <c r="E238" s="112"/>
      <c r="F238" s="427">
        <f t="shared" ref="F238:N238" si="97">-F14</f>
        <v>214137</v>
      </c>
      <c r="G238" s="267">
        <f t="shared" si="97"/>
        <v>210352</v>
      </c>
      <c r="H238" s="267">
        <f t="shared" si="97"/>
        <v>220960</v>
      </c>
      <c r="I238" s="267">
        <f t="shared" si="97"/>
        <v>235287.99472053655</v>
      </c>
      <c r="J238" s="267">
        <f t="shared" si="97"/>
        <v>248350.17844098355</v>
      </c>
      <c r="K238" s="267">
        <f t="shared" si="97"/>
        <v>258089.19649360608</v>
      </c>
      <c r="L238" s="267">
        <f t="shared" si="97"/>
        <v>267706.4732889242</v>
      </c>
      <c r="M238" s="267">
        <f t="shared" si="97"/>
        <v>277414.70194559399</v>
      </c>
      <c r="N238" s="242">
        <f t="shared" si="97"/>
        <v>285609.75254769699</v>
      </c>
    </row>
    <row r="239" spans="1:81" s="46" customFormat="1" ht="15" customHeight="1" outlineLevel="1">
      <c r="A239" s="37"/>
      <c r="B239" s="37"/>
      <c r="C239" s="357"/>
      <c r="D239" s="112"/>
      <c r="E239" s="112"/>
      <c r="F239" s="112"/>
      <c r="G239" s="112"/>
      <c r="H239" s="112"/>
      <c r="I239" s="424"/>
      <c r="J239" s="424"/>
      <c r="K239" s="424"/>
      <c r="L239" s="424"/>
      <c r="M239" s="424"/>
      <c r="N239" s="424"/>
      <c r="O239" s="398"/>
    </row>
    <row r="240" spans="1:81" ht="15" customHeight="1" outlineLevel="1">
      <c r="A240" s="37"/>
      <c r="B240" s="37"/>
      <c r="C240" s="357"/>
      <c r="D240" s="112"/>
      <c r="E240" s="112"/>
      <c r="F240" s="112"/>
      <c r="G240" s="112"/>
      <c r="H240" s="112"/>
      <c r="I240" s="424"/>
      <c r="J240" s="424"/>
      <c r="K240" s="424"/>
      <c r="L240" s="424"/>
      <c r="M240" s="424"/>
      <c r="N240" s="424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</row>
    <row r="241" spans="1:81" s="46" customFormat="1" ht="15" customHeight="1" outlineLevel="1">
      <c r="A241" s="37"/>
      <c r="B241" s="42" t="s">
        <v>209</v>
      </c>
      <c r="C241" s="357"/>
      <c r="D241" s="112"/>
      <c r="E241" s="112"/>
      <c r="F241" s="112"/>
      <c r="G241" s="112"/>
      <c r="H241" s="112"/>
      <c r="I241" s="424"/>
      <c r="J241" s="424"/>
      <c r="K241" s="424"/>
      <c r="L241" s="424"/>
      <c r="M241" s="424"/>
      <c r="N241" s="424"/>
    </row>
    <row r="242" spans="1:81" s="46" customFormat="1" ht="15" customHeight="1" outlineLevel="1">
      <c r="A242" s="37"/>
      <c r="B242" s="255" t="s">
        <v>96</v>
      </c>
      <c r="C242" s="112"/>
      <c r="D242" s="422" t="s">
        <v>93</v>
      </c>
      <c r="E242" s="422"/>
      <c r="F242" s="358">
        <f>(F249/F237)*F$236</f>
        <v>28.100290906244702</v>
      </c>
      <c r="G242" s="358">
        <f>(G249/G237)*G$236</f>
        <v>31.185571624023428</v>
      </c>
      <c r="H242" s="358">
        <f>(H249/H237)*H$236</f>
        <v>34.886990852098108</v>
      </c>
      <c r="I242" s="358">
        <f>Inputs!G86</f>
        <v>35</v>
      </c>
      <c r="J242" s="358">
        <f>Inputs!H86</f>
        <v>35</v>
      </c>
      <c r="K242" s="358">
        <f>Inputs!I86</f>
        <v>35</v>
      </c>
      <c r="L242" s="358">
        <f>Inputs!J86</f>
        <v>35</v>
      </c>
      <c r="M242" s="437">
        <f>Inputs!K86</f>
        <v>35</v>
      </c>
      <c r="N242" s="436">
        <f>Inputs!L86</f>
        <v>35</v>
      </c>
    </row>
    <row r="243" spans="1:81" s="46" customFormat="1" ht="15" customHeight="1" outlineLevel="1">
      <c r="A243" s="37"/>
      <c r="B243" s="255" t="s">
        <v>268</v>
      </c>
      <c r="C243" s="112"/>
      <c r="D243" s="422" t="s">
        <v>93</v>
      </c>
      <c r="E243" s="422"/>
      <c r="F243" s="358">
        <f>F250/F237*F236</f>
        <v>29.97535776250049</v>
      </c>
      <c r="G243" s="358">
        <f t="shared" ref="G243:H243" si="98">G250/G237*G236</f>
        <v>30.64698812126792</v>
      </c>
      <c r="H243" s="358">
        <f t="shared" si="98"/>
        <v>29.100996969922697</v>
      </c>
      <c r="I243" s="358">
        <f>Inputs!G87</f>
        <v>30</v>
      </c>
      <c r="J243" s="358">
        <f>Inputs!H87</f>
        <v>30</v>
      </c>
      <c r="K243" s="358">
        <f>Inputs!I87</f>
        <v>30</v>
      </c>
      <c r="L243" s="358">
        <f>Inputs!J87</f>
        <v>30</v>
      </c>
      <c r="M243" s="435">
        <f>Inputs!K87</f>
        <v>30</v>
      </c>
      <c r="N243" s="434">
        <f>Inputs!L87</f>
        <v>30</v>
      </c>
    </row>
    <row r="244" spans="1:81" s="46" customFormat="1" ht="15" customHeight="1" outlineLevel="1">
      <c r="A244" s="37"/>
      <c r="B244" s="255" t="s">
        <v>95</v>
      </c>
      <c r="C244" s="112"/>
      <c r="D244" s="422" t="s">
        <v>93</v>
      </c>
      <c r="E244" s="422"/>
      <c r="F244" s="358">
        <f>(F251/F238)*F$236</f>
        <v>10.791292490321617</v>
      </c>
      <c r="G244" s="358">
        <f>(G251/G238)*G$236</f>
        <v>12.642570548414087</v>
      </c>
      <c r="H244" s="358">
        <f>(H251/H238)*H$236</f>
        <v>9.4454652425778427</v>
      </c>
      <c r="I244" s="358">
        <f>Inputs!G88</f>
        <v>10</v>
      </c>
      <c r="J244" s="358">
        <f>Inputs!H88</f>
        <v>10</v>
      </c>
      <c r="K244" s="358">
        <f>Inputs!I88</f>
        <v>10</v>
      </c>
      <c r="L244" s="358">
        <f>Inputs!J88</f>
        <v>10</v>
      </c>
      <c r="M244" s="435">
        <f>Inputs!K88</f>
        <v>10</v>
      </c>
      <c r="N244" s="434">
        <f>Inputs!L88</f>
        <v>10</v>
      </c>
    </row>
    <row r="245" spans="1:81" s="46" customFormat="1" ht="15" customHeight="1" outlineLevel="1">
      <c r="A245" s="37"/>
      <c r="B245" s="255" t="s">
        <v>94</v>
      </c>
      <c r="C245" s="112"/>
      <c r="D245" s="422" t="s">
        <v>93</v>
      </c>
      <c r="E245" s="422"/>
      <c r="F245" s="358">
        <f>(F256/F238)*F$236</f>
        <v>106.72146803214764</v>
      </c>
      <c r="G245" s="358">
        <f>(G256/G238)*G$236</f>
        <v>119.65847721913744</v>
      </c>
      <c r="H245" s="358">
        <f>(H256/H238)*H$236</f>
        <v>115.40052498189718</v>
      </c>
      <c r="I245" s="358">
        <f>Inputs!G89</f>
        <v>115</v>
      </c>
      <c r="J245" s="358">
        <f>Inputs!H89</f>
        <v>115</v>
      </c>
      <c r="K245" s="358">
        <f>Inputs!I89</f>
        <v>115</v>
      </c>
      <c r="L245" s="358">
        <f>Inputs!J89</f>
        <v>115</v>
      </c>
      <c r="M245" s="433">
        <f>Inputs!K89</f>
        <v>115</v>
      </c>
      <c r="N245" s="243">
        <f>Inputs!L89</f>
        <v>115</v>
      </c>
    </row>
    <row r="246" spans="1:81" ht="15" customHeight="1" outlineLevel="1">
      <c r="A246" s="37"/>
      <c r="B246" s="37"/>
      <c r="C246" s="112"/>
      <c r="D246" s="432"/>
      <c r="E246" s="432"/>
      <c r="F246" s="431"/>
      <c r="G246" s="430"/>
      <c r="H246" s="430"/>
      <c r="I246" s="429"/>
      <c r="J246" s="429"/>
      <c r="K246" s="429"/>
      <c r="L246" s="429"/>
      <c r="M246" s="429"/>
      <c r="N246" s="429"/>
      <c r="O246" s="25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</row>
    <row r="247" spans="1:81" s="46" customFormat="1" ht="15" customHeight="1" outlineLevel="1">
      <c r="A247" s="37"/>
      <c r="B247" s="37"/>
      <c r="C247" s="112"/>
      <c r="D247" s="432"/>
      <c r="E247" s="432"/>
      <c r="F247" s="431"/>
      <c r="G247" s="430"/>
      <c r="H247" s="430"/>
      <c r="I247" s="429"/>
      <c r="J247" s="429"/>
      <c r="K247" s="429"/>
      <c r="L247" s="429"/>
      <c r="M247" s="429"/>
      <c r="N247" s="429"/>
      <c r="O247" s="256"/>
    </row>
    <row r="248" spans="1:81" s="46" customFormat="1" ht="15" customHeight="1" outlineLevel="1">
      <c r="A248" s="37"/>
      <c r="B248" s="42" t="s">
        <v>208</v>
      </c>
      <c r="C248" s="357"/>
      <c r="D248" s="112"/>
      <c r="E248" s="112"/>
      <c r="F248" s="112"/>
      <c r="G248" s="112"/>
      <c r="H248" s="112"/>
      <c r="I248" s="424"/>
      <c r="J248" s="424"/>
      <c r="K248" s="424"/>
      <c r="L248" s="424"/>
      <c r="M248" s="424"/>
      <c r="N248" s="424"/>
      <c r="O248" s="256"/>
    </row>
    <row r="249" spans="1:81" s="46" customFormat="1" ht="15" customHeight="1" outlineLevel="1">
      <c r="A249" s="37"/>
      <c r="B249" s="255" t="s">
        <v>96</v>
      </c>
      <c r="C249" s="112"/>
      <c r="D249" s="112"/>
      <c r="E249" s="112"/>
      <c r="F249" s="269">
        <v>29508</v>
      </c>
      <c r="G249" s="269">
        <v>33410</v>
      </c>
      <c r="H249" s="269">
        <v>39777</v>
      </c>
      <c r="I249" s="44">
        <f t="shared" ref="I249:M249" si="99">(I242/I$236)*I237</f>
        <v>42662.354526631854</v>
      </c>
      <c r="J249" s="44">
        <f t="shared" si="99"/>
        <v>44687.963119556342</v>
      </c>
      <c r="K249" s="44">
        <f t="shared" si="99"/>
        <v>46129.37336997762</v>
      </c>
      <c r="L249" s="44">
        <f t="shared" si="99"/>
        <v>47336.117777336229</v>
      </c>
      <c r="M249" s="353">
        <f t="shared" si="99"/>
        <v>48574.43061839135</v>
      </c>
      <c r="N249" s="247">
        <f t="shared" ref="N249" si="100">(N242/N$236)*N237</f>
        <v>49796.0775484439</v>
      </c>
    </row>
    <row r="250" spans="1:81" s="46" customFormat="1" ht="15" customHeight="1" outlineLevel="1">
      <c r="A250" s="37"/>
      <c r="B250" s="255" t="s">
        <v>267</v>
      </c>
      <c r="C250" s="112"/>
      <c r="D250" s="112"/>
      <c r="E250" s="112"/>
      <c r="F250" s="269">
        <v>31477</v>
      </c>
      <c r="G250" s="269">
        <v>32833</v>
      </c>
      <c r="H250" s="269">
        <v>33180</v>
      </c>
      <c r="I250" s="44">
        <f>I243/I236*I237</f>
        <v>36567.732451398733</v>
      </c>
      <c r="J250" s="44">
        <f t="shared" ref="J250:M250" si="101">J243/J236*J237</f>
        <v>38303.968388191148</v>
      </c>
      <c r="K250" s="44">
        <f t="shared" si="101"/>
        <v>39539.462888552247</v>
      </c>
      <c r="L250" s="44">
        <f t="shared" si="101"/>
        <v>40573.815237716764</v>
      </c>
      <c r="M250" s="428">
        <f t="shared" si="101"/>
        <v>41635.226244335441</v>
      </c>
      <c r="N250" s="309">
        <f t="shared" ref="N250" si="102">N243/N236*N237</f>
        <v>42682.352184380485</v>
      </c>
    </row>
    <row r="251" spans="1:81" s="46" customFormat="1" ht="15" customHeight="1" outlineLevel="1">
      <c r="A251" s="37"/>
      <c r="B251" s="255" t="s">
        <v>95</v>
      </c>
      <c r="C251" s="112"/>
      <c r="D251" s="112"/>
      <c r="E251" s="112"/>
      <c r="F251" s="269">
        <v>6331</v>
      </c>
      <c r="G251" s="269">
        <v>7286</v>
      </c>
      <c r="H251" s="269">
        <v>5718</v>
      </c>
      <c r="I251" s="44">
        <f t="shared" ref="I251:M251" si="103">(I244/I$236)*I238</f>
        <v>6446.2464306996308</v>
      </c>
      <c r="J251" s="44">
        <f t="shared" si="103"/>
        <v>6804.1144778351654</v>
      </c>
      <c r="K251" s="44">
        <f t="shared" si="103"/>
        <v>7070.9368902357828</v>
      </c>
      <c r="L251" s="44">
        <f t="shared" si="103"/>
        <v>7334.4239257239506</v>
      </c>
      <c r="M251" s="428">
        <f t="shared" si="103"/>
        <v>7600.4027930299717</v>
      </c>
      <c r="N251" s="309">
        <f t="shared" ref="N251" si="104">(N244/N$236)*N238</f>
        <v>7824.9247273341634</v>
      </c>
    </row>
    <row r="252" spans="1:81" s="46" customFormat="1" ht="15" customHeight="1" outlineLevel="1">
      <c r="A252" s="37"/>
      <c r="B252" s="255" t="s">
        <v>311</v>
      </c>
      <c r="C252" s="112"/>
      <c r="D252" s="112"/>
      <c r="E252" s="112"/>
      <c r="F252" s="269">
        <v>14695</v>
      </c>
      <c r="G252" s="269">
        <v>14287</v>
      </c>
      <c r="H252" s="269">
        <v>14585</v>
      </c>
      <c r="I252" s="44">
        <f>H252*(1+I$8)</f>
        <v>14935.04</v>
      </c>
      <c r="J252" s="44">
        <f t="shared" ref="J252:L252" si="105">I252*(1+J$8)</f>
        <v>15308.415999999999</v>
      </c>
      <c r="K252" s="44">
        <f t="shared" si="105"/>
        <v>15660.509567999998</v>
      </c>
      <c r="L252" s="44">
        <f t="shared" si="105"/>
        <v>16005.040778495997</v>
      </c>
      <c r="M252" s="428">
        <f>L252*(1+M$8)</f>
        <v>16341.146634844412</v>
      </c>
      <c r="N252" s="309">
        <f>M252*(1+N$8)</f>
        <v>16667.969567541302</v>
      </c>
    </row>
    <row r="253" spans="1:81" s="46" customFormat="1" ht="15" customHeight="1" outlineLevel="1">
      <c r="A253" s="37"/>
      <c r="B253" s="255" t="s">
        <v>312</v>
      </c>
      <c r="C253" s="112"/>
      <c r="D253" s="112"/>
      <c r="E253" s="112"/>
      <c r="F253" s="269">
        <v>64758</v>
      </c>
      <c r="G253" s="269">
        <v>74834</v>
      </c>
      <c r="H253" s="269">
        <v>83727</v>
      </c>
      <c r="I253" s="44">
        <f>H253*(1+I$8)</f>
        <v>85736.448000000004</v>
      </c>
      <c r="J253" s="44">
        <f t="shared" ref="J253:L253" si="106">I253*(1+J$8)</f>
        <v>87879.859199999992</v>
      </c>
      <c r="K253" s="44">
        <f t="shared" si="106"/>
        <v>89901.095961599989</v>
      </c>
      <c r="L253" s="44">
        <f t="shared" si="106"/>
        <v>91878.920072755194</v>
      </c>
      <c r="M253" s="428">
        <f t="shared" ref="M253:N253" si="107">L253*(1+M$8)</f>
        <v>93808.377394283045</v>
      </c>
      <c r="N253" s="309">
        <f t="shared" si="107"/>
        <v>95684.544942168708</v>
      </c>
    </row>
    <row r="254" spans="1:81" s="46" customFormat="1" ht="15" customHeight="1" outlineLevel="1">
      <c r="A254" s="37"/>
      <c r="B254" s="255" t="s">
        <v>314</v>
      </c>
      <c r="C254" s="112"/>
      <c r="D254" s="112"/>
      <c r="E254" s="112"/>
      <c r="F254" s="269">
        <v>58829</v>
      </c>
      <c r="G254" s="269">
        <v>78304</v>
      </c>
      <c r="H254" s="269">
        <v>66387</v>
      </c>
      <c r="I254" s="44">
        <f>H254*(1+I$8)</f>
        <v>67980.288</v>
      </c>
      <c r="J254" s="44">
        <f t="shared" ref="J254:L254" si="108">I254*(1+J$8)</f>
        <v>69679.795199999993</v>
      </c>
      <c r="K254" s="44">
        <f t="shared" si="108"/>
        <v>71282.430489599981</v>
      </c>
      <c r="L254" s="44">
        <f t="shared" si="108"/>
        <v>72850.643960371177</v>
      </c>
      <c r="M254" s="428">
        <f t="shared" ref="M254:N254" si="109">L254*(1+M$8)</f>
        <v>74380.507483538968</v>
      </c>
      <c r="N254" s="309">
        <f t="shared" si="109"/>
        <v>75868.117633209753</v>
      </c>
    </row>
    <row r="255" spans="1:81" s="46" customFormat="1" ht="15" customHeight="1" outlineLevel="1">
      <c r="A255" s="37"/>
      <c r="B255" s="255" t="s">
        <v>340</v>
      </c>
      <c r="C255" s="112"/>
      <c r="D255" s="112"/>
      <c r="E255" s="112"/>
      <c r="F255" s="269">
        <v>50696</v>
      </c>
      <c r="G255" s="269">
        <v>49851</v>
      </c>
      <c r="H255" s="269">
        <v>43045</v>
      </c>
      <c r="I255" s="44">
        <f>H255*(1+I$8)</f>
        <v>44078.080000000002</v>
      </c>
      <c r="J255" s="44">
        <f t="shared" ref="J255:L255" si="110">I255*(1+J$8)</f>
        <v>45180.031999999999</v>
      </c>
      <c r="K255" s="44">
        <f t="shared" si="110"/>
        <v>46219.172735999993</v>
      </c>
      <c r="L255" s="44">
        <f t="shared" si="110"/>
        <v>47235.994536191996</v>
      </c>
      <c r="M255" s="428">
        <f t="shared" ref="M255:N255" si="111">L255*(1+M$8)</f>
        <v>48227.95042145202</v>
      </c>
      <c r="N255" s="309">
        <f t="shared" si="111"/>
        <v>49192.509429881058</v>
      </c>
    </row>
    <row r="256" spans="1:81" s="46" customFormat="1" ht="15" customHeight="1" outlineLevel="1">
      <c r="A256" s="37"/>
      <c r="B256" s="255" t="s">
        <v>94</v>
      </c>
      <c r="C256" s="112"/>
      <c r="D256" s="112"/>
      <c r="E256" s="112"/>
      <c r="F256" s="269">
        <v>62611</v>
      </c>
      <c r="G256" s="269">
        <v>68960</v>
      </c>
      <c r="H256" s="269">
        <v>69860</v>
      </c>
      <c r="I256" s="44">
        <f>(I245/I$236)*I238</f>
        <v>74131.83395304576</v>
      </c>
      <c r="J256" s="44">
        <f t="shared" ref="J256:M256" si="112">(J245/J$236)*J238</f>
        <v>78247.316495104402</v>
      </c>
      <c r="K256" s="44">
        <f t="shared" si="112"/>
        <v>81315.774237711506</v>
      </c>
      <c r="L256" s="44">
        <f t="shared" si="112"/>
        <v>84345.875145825426</v>
      </c>
      <c r="M256" s="427">
        <f t="shared" si="112"/>
        <v>87404.632119844682</v>
      </c>
      <c r="N256" s="242">
        <f t="shared" ref="N256" si="113">(N245/N$236)*N238</f>
        <v>89986.634364342885</v>
      </c>
    </row>
    <row r="257" spans="1:15" s="46" customFormat="1" ht="15" customHeight="1" outlineLevel="1">
      <c r="A257" s="37"/>
      <c r="B257" s="255"/>
      <c r="C257" s="112"/>
      <c r="D257" s="112"/>
      <c r="E257" s="112"/>
      <c r="F257" s="269"/>
      <c r="G257" s="269"/>
      <c r="H257" s="269"/>
      <c r="I257" s="44"/>
      <c r="J257" s="44"/>
      <c r="K257" s="44"/>
      <c r="L257" s="44"/>
      <c r="M257" s="44"/>
      <c r="N257" s="44"/>
    </row>
    <row r="258" spans="1:15" s="46" customFormat="1" ht="15" customHeight="1" outlineLevel="1">
      <c r="A258" s="37"/>
      <c r="B258" s="255"/>
      <c r="C258" s="112"/>
      <c r="D258" s="112"/>
      <c r="E258" s="112"/>
      <c r="F258" s="269"/>
      <c r="G258" s="269"/>
      <c r="H258" s="269"/>
      <c r="I258" s="44"/>
      <c r="J258" s="44"/>
      <c r="K258" s="44"/>
      <c r="L258" s="44"/>
      <c r="M258" s="44"/>
      <c r="N258" s="44"/>
    </row>
    <row r="259" spans="1:15" s="46" customFormat="1" ht="15" customHeight="1" outlineLevel="1">
      <c r="A259" s="37"/>
      <c r="B259" s="42" t="s">
        <v>207</v>
      </c>
      <c r="C259" s="357"/>
      <c r="D259" s="112"/>
      <c r="E259" s="112"/>
      <c r="F259" s="112"/>
      <c r="G259" s="112"/>
      <c r="H259" s="112"/>
      <c r="I259" s="424"/>
      <c r="J259" s="424"/>
      <c r="K259" s="424"/>
      <c r="L259" s="424"/>
      <c r="M259" s="424"/>
      <c r="N259" s="424"/>
      <c r="O259" s="256"/>
    </row>
    <row r="260" spans="1:15" s="46" customFormat="1" ht="15" customHeight="1" outlineLevel="1">
      <c r="A260" s="37"/>
      <c r="B260" s="255" t="s">
        <v>206</v>
      </c>
      <c r="C260" s="112"/>
      <c r="D260" s="112"/>
      <c r="E260" s="112"/>
      <c r="F260" s="44">
        <f>F249+F250+F251+F252</f>
        <v>82011</v>
      </c>
      <c r="G260" s="44">
        <f t="shared" ref="G260:L260" si="114">G249+G250+G251+G252</f>
        <v>87816</v>
      </c>
      <c r="H260" s="44">
        <f t="shared" si="114"/>
        <v>93260</v>
      </c>
      <c r="I260" s="44">
        <f t="shared" si="114"/>
        <v>100611.37340873023</v>
      </c>
      <c r="J260" s="44">
        <f t="shared" si="114"/>
        <v>105104.46198558265</v>
      </c>
      <c r="K260" s="44">
        <f t="shared" si="114"/>
        <v>108400.28271676564</v>
      </c>
      <c r="L260" s="44">
        <f t="shared" si="114"/>
        <v>111249.39771927294</v>
      </c>
      <c r="M260" s="353">
        <f>M249+M250+M251+M252</f>
        <v>114151.20629060117</v>
      </c>
      <c r="N260" s="247">
        <f>N249+N250+N251+N252</f>
        <v>116971.32402769985</v>
      </c>
      <c r="O260" s="256"/>
    </row>
    <row r="261" spans="1:15" s="46" customFormat="1" ht="15" customHeight="1" outlineLevel="1">
      <c r="A261" s="37"/>
      <c r="B261" s="255" t="s">
        <v>205</v>
      </c>
      <c r="C261" s="112"/>
      <c r="D261" s="112"/>
      <c r="E261" s="112"/>
      <c r="F261" s="267">
        <f>F256+F254</f>
        <v>121440</v>
      </c>
      <c r="G261" s="267">
        <f t="shared" ref="G261:M261" si="115">G256+G254</f>
        <v>147264</v>
      </c>
      <c r="H261" s="267">
        <f t="shared" si="115"/>
        <v>136247</v>
      </c>
      <c r="I261" s="267">
        <f t="shared" si="115"/>
        <v>142112.12195304577</v>
      </c>
      <c r="J261" s="267">
        <f t="shared" si="115"/>
        <v>147927.1116951044</v>
      </c>
      <c r="K261" s="267">
        <f t="shared" si="115"/>
        <v>152598.2047273115</v>
      </c>
      <c r="L261" s="267">
        <f t="shared" si="115"/>
        <v>157196.51910619659</v>
      </c>
      <c r="M261" s="427">
        <f t="shared" si="115"/>
        <v>161785.13960338366</v>
      </c>
      <c r="N261" s="242">
        <f t="shared" ref="N261" si="116">N256+N254</f>
        <v>165854.75199755264</v>
      </c>
      <c r="O261" s="34"/>
    </row>
    <row r="262" spans="1:15" s="46" customFormat="1" ht="15" customHeight="1" outlineLevel="1">
      <c r="A262" s="37"/>
      <c r="B262" s="255" t="s">
        <v>204</v>
      </c>
      <c r="C262" s="112"/>
      <c r="D262" s="112"/>
      <c r="E262" s="112"/>
      <c r="F262" s="44">
        <f t="shared" ref="F262:M262" si="117">F260-F261</f>
        <v>-39429</v>
      </c>
      <c r="G262" s="44">
        <f t="shared" si="117"/>
        <v>-59448</v>
      </c>
      <c r="H262" s="44">
        <f>H260-H261</f>
        <v>-42987</v>
      </c>
      <c r="I262" s="44">
        <f t="shared" si="117"/>
        <v>-41500.748544315546</v>
      </c>
      <c r="J262" s="44">
        <f t="shared" si="117"/>
        <v>-42822.649709521749</v>
      </c>
      <c r="K262" s="44">
        <f t="shared" si="117"/>
        <v>-44197.922010545866</v>
      </c>
      <c r="L262" s="44">
        <f t="shared" si="117"/>
        <v>-45947.121386923653</v>
      </c>
      <c r="M262" s="427">
        <f t="shared" si="117"/>
        <v>-47633.933312782494</v>
      </c>
      <c r="N262" s="242">
        <f t="shared" ref="N262" si="118">N260-N261</f>
        <v>-48883.427969852783</v>
      </c>
      <c r="O262" s="34"/>
    </row>
    <row r="263" spans="1:15" s="46" customFormat="1" ht="15" customHeight="1" outlineLevel="1">
      <c r="A263" s="37"/>
      <c r="B263" s="250"/>
      <c r="C263" s="357"/>
      <c r="D263" s="112"/>
      <c r="E263" s="112"/>
      <c r="F263" s="112"/>
      <c r="G263" s="112"/>
      <c r="H263" s="112"/>
      <c r="I263" s="424"/>
      <c r="J263" s="424"/>
      <c r="K263" s="424"/>
      <c r="L263" s="424"/>
      <c r="M263" s="424"/>
      <c r="N263" s="424"/>
      <c r="O263" s="256"/>
    </row>
    <row r="264" spans="1:15" s="46" customFormat="1" ht="15" customHeight="1" outlineLevel="1">
      <c r="A264" s="37"/>
      <c r="B264" s="255"/>
      <c r="C264" s="112"/>
      <c r="D264" s="112"/>
      <c r="E264" s="112"/>
      <c r="F264" s="269"/>
      <c r="G264" s="269"/>
      <c r="H264" s="269"/>
      <c r="I264" s="44"/>
      <c r="J264" s="44"/>
      <c r="K264" s="44"/>
      <c r="L264" s="44"/>
      <c r="M264" s="44"/>
      <c r="N264" s="44"/>
    </row>
    <row r="265" spans="1:15" s="46" customFormat="1" ht="15" customHeight="1" outlineLevel="1">
      <c r="B265" s="42" t="s">
        <v>333</v>
      </c>
    </row>
    <row r="266" spans="1:15" s="46" customFormat="1" ht="15" customHeight="1" outlineLevel="1">
      <c r="B266" s="255" t="s">
        <v>96</v>
      </c>
      <c r="G266" s="44">
        <f t="shared" ref="G266:N268" si="119">F249-G249</f>
        <v>-3902</v>
      </c>
      <c r="H266" s="44">
        <f t="shared" si="119"/>
        <v>-6367</v>
      </c>
      <c r="I266" s="44">
        <f t="shared" si="119"/>
        <v>-2885.3545266318542</v>
      </c>
      <c r="J266" s="44">
        <f t="shared" si="119"/>
        <v>-2025.6085929244873</v>
      </c>
      <c r="K266" s="44">
        <f t="shared" si="119"/>
        <v>-1441.4102504212788</v>
      </c>
      <c r="L266" s="44">
        <f t="shared" si="119"/>
        <v>-1206.7444073586084</v>
      </c>
      <c r="M266" s="44">
        <f t="shared" si="119"/>
        <v>-1238.3128410551217</v>
      </c>
      <c r="N266" s="44">
        <f t="shared" si="119"/>
        <v>-1221.6469300525496</v>
      </c>
    </row>
    <row r="267" spans="1:15" s="46" customFormat="1" ht="15" customHeight="1" outlineLevel="1">
      <c r="B267" s="255" t="s">
        <v>267</v>
      </c>
      <c r="G267" s="44">
        <f t="shared" si="119"/>
        <v>-1356</v>
      </c>
      <c r="H267" s="44">
        <f t="shared" si="119"/>
        <v>-347</v>
      </c>
      <c r="I267" s="44">
        <f t="shared" si="119"/>
        <v>-3387.7324513987332</v>
      </c>
      <c r="J267" s="44">
        <f t="shared" si="119"/>
        <v>-1736.2359367924146</v>
      </c>
      <c r="K267" s="44">
        <f t="shared" si="119"/>
        <v>-1235.4945003610992</v>
      </c>
      <c r="L267" s="44">
        <f t="shared" si="119"/>
        <v>-1034.3523491645174</v>
      </c>
      <c r="M267" s="44">
        <f t="shared" si="119"/>
        <v>-1061.4110066186768</v>
      </c>
      <c r="N267" s="44">
        <f t="shared" si="119"/>
        <v>-1047.1259400450435</v>
      </c>
    </row>
    <row r="268" spans="1:15" s="46" customFormat="1" ht="15" customHeight="1" outlineLevel="1">
      <c r="B268" s="255" t="s">
        <v>95</v>
      </c>
      <c r="G268" s="44">
        <f t="shared" si="119"/>
        <v>-955</v>
      </c>
      <c r="H268" s="44">
        <f t="shared" si="119"/>
        <v>1568</v>
      </c>
      <c r="I268" s="44">
        <f t="shared" si="119"/>
        <v>-728.24643069963076</v>
      </c>
      <c r="J268" s="44">
        <f t="shared" si="119"/>
        <v>-357.86804713553465</v>
      </c>
      <c r="K268" s="44">
        <f t="shared" si="119"/>
        <v>-266.8224124006174</v>
      </c>
      <c r="L268" s="44">
        <f t="shared" si="119"/>
        <v>-263.48703548816775</v>
      </c>
      <c r="M268" s="44">
        <f t="shared" si="119"/>
        <v>-265.97886730602113</v>
      </c>
      <c r="N268" s="44">
        <f t="shared" si="119"/>
        <v>-224.52193430419175</v>
      </c>
    </row>
    <row r="269" spans="1:15" s="46" customFormat="1" ht="15" customHeight="1" outlineLevel="1">
      <c r="B269" s="255" t="s">
        <v>311</v>
      </c>
      <c r="G269" s="44">
        <f>-(G252-F252)</f>
        <v>408</v>
      </c>
      <c r="H269" s="44">
        <f t="shared" ref="H269:N269" si="120">-(H252-G252)</f>
        <v>-298</v>
      </c>
      <c r="I269" s="44">
        <f>-(I252-H252)</f>
        <v>-350.04000000000087</v>
      </c>
      <c r="J269" s="44">
        <f t="shared" si="120"/>
        <v>-373.37599999999838</v>
      </c>
      <c r="K269" s="44">
        <f t="shared" si="120"/>
        <v>-352.09356799999841</v>
      </c>
      <c r="L269" s="44">
        <f t="shared" si="120"/>
        <v>-344.5312104959994</v>
      </c>
      <c r="M269" s="44">
        <f t="shared" si="120"/>
        <v>-336.10585634841482</v>
      </c>
      <c r="N269" s="44">
        <f t="shared" si="120"/>
        <v>-326.82293269689035</v>
      </c>
    </row>
    <row r="270" spans="1:15" s="46" customFormat="1" ht="15" customHeight="1" outlineLevel="1">
      <c r="B270" s="255" t="s">
        <v>312</v>
      </c>
      <c r="G270" s="44">
        <f>-(G253-F253)</f>
        <v>-10076</v>
      </c>
      <c r="H270" s="44">
        <f t="shared" ref="H270:N270" si="121">-(H253-G253)</f>
        <v>-8893</v>
      </c>
      <c r="I270" s="44">
        <f>-(I253-H253)</f>
        <v>-2009.448000000004</v>
      </c>
      <c r="J270" s="44">
        <f t="shared" si="121"/>
        <v>-2143.4111999999877</v>
      </c>
      <c r="K270" s="44">
        <f t="shared" si="121"/>
        <v>-2021.2367615999974</v>
      </c>
      <c r="L270" s="44">
        <f t="shared" si="121"/>
        <v>-1977.8241111552052</v>
      </c>
      <c r="M270" s="44">
        <f t="shared" si="121"/>
        <v>-1929.4573215278506</v>
      </c>
      <c r="N270" s="44">
        <f t="shared" si="121"/>
        <v>-1876.1675478856632</v>
      </c>
    </row>
    <row r="271" spans="1:15" s="46" customFormat="1" ht="15" customHeight="1" outlineLevel="1">
      <c r="B271" s="255" t="s">
        <v>314</v>
      </c>
      <c r="G271" s="44">
        <f>G254-F254</f>
        <v>19475</v>
      </c>
      <c r="H271" s="44">
        <f t="shared" ref="H271:N271" si="122">H254-G254</f>
        <v>-11917</v>
      </c>
      <c r="I271" s="44">
        <f>I254-H254</f>
        <v>1593.2880000000005</v>
      </c>
      <c r="J271" s="44">
        <f t="shared" si="122"/>
        <v>1699.5071999999927</v>
      </c>
      <c r="K271" s="44">
        <f t="shared" si="122"/>
        <v>1602.635289599988</v>
      </c>
      <c r="L271" s="44">
        <f t="shared" si="122"/>
        <v>1568.2134707711957</v>
      </c>
      <c r="M271" s="44">
        <f t="shared" si="122"/>
        <v>1529.8635231677908</v>
      </c>
      <c r="N271" s="44">
        <f t="shared" si="122"/>
        <v>1487.6101496707852</v>
      </c>
    </row>
    <row r="272" spans="1:15" s="46" customFormat="1" ht="15" customHeight="1" outlineLevel="1">
      <c r="B272" s="255" t="s">
        <v>340</v>
      </c>
      <c r="G272" s="44">
        <f>G255-F255</f>
        <v>-845</v>
      </c>
      <c r="H272" s="44">
        <f t="shared" ref="H272:N272" si="123">H255-G255</f>
        <v>-6806</v>
      </c>
      <c r="I272" s="44">
        <f>I255-H255</f>
        <v>1033.0800000000017</v>
      </c>
      <c r="J272" s="44">
        <f t="shared" si="123"/>
        <v>1101.9519999999975</v>
      </c>
      <c r="K272" s="44">
        <f t="shared" si="123"/>
        <v>1039.1407359999939</v>
      </c>
      <c r="L272" s="44">
        <f t="shared" si="123"/>
        <v>1016.8218001920031</v>
      </c>
      <c r="M272" s="44">
        <f t="shared" si="123"/>
        <v>991.95588526002393</v>
      </c>
      <c r="N272" s="44">
        <f t="shared" si="123"/>
        <v>964.55900842903793</v>
      </c>
    </row>
    <row r="273" spans="1:81" s="37" customFormat="1" ht="15" customHeight="1" outlineLevel="1">
      <c r="B273" s="255" t="s">
        <v>94</v>
      </c>
      <c r="C273" s="357"/>
      <c r="D273" s="112"/>
      <c r="E273" s="112"/>
      <c r="F273" s="112"/>
      <c r="G273" s="44">
        <f t="shared" ref="G273:N273" si="124">-(F256-G256)</f>
        <v>6349</v>
      </c>
      <c r="H273" s="44">
        <f t="shared" si="124"/>
        <v>900</v>
      </c>
      <c r="I273" s="44">
        <f>-(H256-I256)</f>
        <v>4271.8339530457597</v>
      </c>
      <c r="J273" s="44">
        <f t="shared" si="124"/>
        <v>4115.4825420586421</v>
      </c>
      <c r="K273" s="44">
        <f t="shared" si="124"/>
        <v>3068.4577426071046</v>
      </c>
      <c r="L273" s="44">
        <f t="shared" si="124"/>
        <v>3030.10090811392</v>
      </c>
      <c r="M273" s="44">
        <f t="shared" si="124"/>
        <v>3058.7569740192557</v>
      </c>
      <c r="N273" s="44">
        <f t="shared" si="124"/>
        <v>2582.0022444982023</v>
      </c>
      <c r="O273" s="25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</row>
    <row r="274" spans="1:81" s="46" customFormat="1" ht="15" customHeight="1" outlineLevel="1" thickBot="1">
      <c r="A274" s="37"/>
      <c r="B274" s="255" t="s">
        <v>203</v>
      </c>
      <c r="C274" s="357"/>
      <c r="D274" s="357"/>
      <c r="E274" s="357"/>
      <c r="F274" s="357"/>
      <c r="G274" s="425">
        <f t="shared" ref="G274:M274" si="125">SUM(G266:G273)</f>
        <v>9098</v>
      </c>
      <c r="H274" s="425">
        <f t="shared" si="125"/>
        <v>-32160</v>
      </c>
      <c r="I274" s="425">
        <f t="shared" si="125"/>
        <v>-2462.6194556844603</v>
      </c>
      <c r="J274" s="425">
        <f t="shared" si="125"/>
        <v>280.44196520620972</v>
      </c>
      <c r="K274" s="425">
        <f t="shared" si="125"/>
        <v>393.17627542409537</v>
      </c>
      <c r="L274" s="425">
        <f t="shared" si="125"/>
        <v>788.19706541462074</v>
      </c>
      <c r="M274" s="425">
        <f t="shared" si="125"/>
        <v>749.31048959098553</v>
      </c>
      <c r="N274" s="425">
        <f t="shared" ref="N274" si="126">SUM(N266:N273)</f>
        <v>337.88611761368702</v>
      </c>
      <c r="O274" s="256"/>
    </row>
    <row r="275" spans="1:81" s="46" customFormat="1" ht="15" customHeight="1" outlineLevel="1">
      <c r="A275" s="37"/>
      <c r="B275" s="37"/>
      <c r="C275" s="357"/>
      <c r="D275" s="357"/>
      <c r="E275" s="357"/>
      <c r="F275" s="357"/>
      <c r="G275" s="330"/>
      <c r="H275" s="330"/>
      <c r="I275" s="330"/>
      <c r="J275" s="330"/>
      <c r="K275" s="330"/>
      <c r="L275" s="330"/>
      <c r="M275" s="330"/>
      <c r="N275" s="330"/>
      <c r="O275" s="34"/>
    </row>
    <row r="276" spans="1:81" s="46" customFormat="1" ht="15" customHeight="1" outlineLevel="1">
      <c r="A276" s="37"/>
      <c r="B276" s="37"/>
      <c r="C276" s="357"/>
      <c r="D276" s="357"/>
      <c r="E276" s="357"/>
      <c r="F276" s="357"/>
      <c r="G276" s="330"/>
      <c r="H276" s="330"/>
      <c r="I276" s="330"/>
      <c r="J276" s="330"/>
      <c r="K276" s="330"/>
      <c r="L276" s="330"/>
      <c r="M276" s="330"/>
      <c r="N276" s="330"/>
      <c r="O276" s="34"/>
    </row>
    <row r="277" spans="1:81" s="46" customFormat="1" ht="15" customHeight="1" outlineLevel="1">
      <c r="C277" s="53"/>
      <c r="D277" s="47"/>
      <c r="E277" s="47"/>
      <c r="F277" s="47"/>
      <c r="G277" s="47"/>
      <c r="H277" s="47"/>
      <c r="I277" s="49"/>
      <c r="J277" s="49"/>
      <c r="K277" s="49"/>
      <c r="N277" s="30" t="s">
        <v>92</v>
      </c>
      <c r="O277" s="34"/>
    </row>
    <row r="278" spans="1:81" s="46" customFormat="1" ht="15" customHeight="1" outlineLevel="1">
      <c r="A278" s="37"/>
      <c r="B278" s="112"/>
      <c r="C278" s="112"/>
      <c r="D278" s="424"/>
      <c r="E278" s="424"/>
      <c r="F278" s="424"/>
      <c r="G278" s="424"/>
      <c r="H278" s="424"/>
      <c r="I278" s="424"/>
      <c r="J278" s="424"/>
      <c r="K278" s="424"/>
      <c r="L278" s="424"/>
      <c r="M278" s="112"/>
      <c r="N278" s="37"/>
      <c r="O278" s="256"/>
    </row>
    <row r="279" spans="1:81" s="46" customFormat="1" ht="15" customHeight="1" outlineLevel="1">
      <c r="A279" s="37"/>
      <c r="B279" s="423"/>
      <c r="C279" s="423"/>
      <c r="D279" s="423"/>
      <c r="E279" s="423"/>
      <c r="F279" s="423"/>
      <c r="G279" s="423"/>
      <c r="H279" s="423"/>
      <c r="I279" s="423"/>
      <c r="J279" s="423"/>
      <c r="K279" s="423"/>
      <c r="L279" s="423"/>
      <c r="M279" s="423"/>
      <c r="N279" s="423"/>
      <c r="O279" s="256"/>
    </row>
    <row r="280" spans="1:81" s="46" customFormat="1" ht="15" customHeight="1">
      <c r="A280" s="37"/>
      <c r="B280" s="38"/>
      <c r="C280" s="40"/>
      <c r="D280" s="422"/>
      <c r="E280" s="112"/>
      <c r="F280" s="134"/>
      <c r="G280" s="134"/>
      <c r="H280" s="134"/>
      <c r="I280" s="134"/>
      <c r="J280" s="134"/>
      <c r="K280" s="134"/>
      <c r="L280" s="134"/>
      <c r="M280" s="134"/>
      <c r="N280" s="134"/>
      <c r="O280" s="256"/>
    </row>
    <row r="281" spans="1:81" s="46" customFormat="1" ht="15" customHeight="1">
      <c r="A281" s="46" t="s">
        <v>0</v>
      </c>
      <c r="B281" s="57" t="s">
        <v>202</v>
      </c>
      <c r="C281" s="56"/>
      <c r="D281" s="55"/>
      <c r="E281" s="55"/>
      <c r="F281" s="54"/>
      <c r="G281" s="54"/>
      <c r="H281" s="54"/>
      <c r="I281" s="54"/>
      <c r="J281" s="54"/>
      <c r="K281" s="54"/>
      <c r="L281" s="54"/>
      <c r="M281" s="54"/>
      <c r="N281" s="302"/>
      <c r="O281" s="256"/>
    </row>
    <row r="282" spans="1:81" ht="15" customHeight="1" outlineLevel="1">
      <c r="A282" s="46"/>
      <c r="B282" s="183"/>
      <c r="C282" s="53"/>
      <c r="D282" s="52"/>
      <c r="E282" s="52"/>
      <c r="F282" s="51"/>
      <c r="G282" s="51"/>
      <c r="H282" s="51"/>
      <c r="I282" s="51"/>
      <c r="J282" s="51"/>
      <c r="K282" s="51"/>
      <c r="L282" s="51"/>
      <c r="M282" s="51"/>
      <c r="N282" s="46"/>
      <c r="O282" s="34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</row>
    <row r="283" spans="1:81" s="46" customFormat="1" ht="15" customHeight="1" outlineLevel="1" thickBot="1">
      <c r="B283" s="43" t="s">
        <v>263</v>
      </c>
      <c r="C283" s="53"/>
      <c r="D283" s="47"/>
      <c r="E283" s="47"/>
      <c r="F283" s="354">
        <f t="shared" ref="F283:M283" si="127">F$141</f>
        <v>2023</v>
      </c>
      <c r="G283" s="354">
        <f t="shared" si="127"/>
        <v>2024</v>
      </c>
      <c r="H283" s="354">
        <f t="shared" si="127"/>
        <v>2025</v>
      </c>
      <c r="I283" s="234">
        <f t="shared" si="127"/>
        <v>2026</v>
      </c>
      <c r="J283" s="234">
        <f t="shared" si="127"/>
        <v>2027</v>
      </c>
      <c r="K283" s="234">
        <f t="shared" si="127"/>
        <v>2028</v>
      </c>
      <c r="L283" s="234">
        <f t="shared" si="127"/>
        <v>2029</v>
      </c>
      <c r="M283" s="234">
        <f t="shared" si="127"/>
        <v>2030</v>
      </c>
      <c r="O283" s="27"/>
    </row>
    <row r="284" spans="1:81" s="46" customFormat="1" ht="15" customHeight="1" outlineLevel="1">
      <c r="A284" s="37"/>
      <c r="B284" s="43" t="str">
        <f>$B$142</f>
        <v>Model Running: Base Case Drivers</v>
      </c>
      <c r="C284" s="53"/>
      <c r="D284" s="47"/>
      <c r="E284" s="47"/>
      <c r="F284" s="47"/>
      <c r="G284" s="47"/>
      <c r="H284" s="47"/>
      <c r="I284" s="49"/>
      <c r="J284" s="49"/>
      <c r="K284" s="49"/>
      <c r="L284" s="49"/>
      <c r="M284" s="49"/>
      <c r="N284" s="49"/>
      <c r="O284" s="256"/>
    </row>
    <row r="285" spans="1:81" s="46" customFormat="1" ht="15" customHeight="1" outlineLevel="1">
      <c r="B285" s="43"/>
      <c r="C285" s="53"/>
      <c r="D285" s="47"/>
      <c r="E285" s="47"/>
      <c r="F285" s="47"/>
      <c r="G285" s="47"/>
      <c r="H285" s="421"/>
      <c r="I285" s="421"/>
      <c r="J285" s="421"/>
      <c r="K285" s="421"/>
      <c r="L285" s="421"/>
      <c r="M285" s="421"/>
    </row>
    <row r="286" spans="1:81" s="46" customFormat="1" ht="15" customHeight="1" outlineLevel="1">
      <c r="B286" s="420" t="s">
        <v>201</v>
      </c>
      <c r="C286" s="53"/>
      <c r="D286" s="47"/>
      <c r="E286" s="47"/>
      <c r="F286" s="419">
        <v>10959</v>
      </c>
      <c r="G286" s="418">
        <v>9447</v>
      </c>
      <c r="H286" s="418">
        <v>12715</v>
      </c>
      <c r="I286" s="313">
        <f>Inputs!G24</f>
        <v>14500</v>
      </c>
      <c r="J286" s="313">
        <f>Inputs!H24</f>
        <v>15200</v>
      </c>
      <c r="K286" s="313">
        <f>Inputs!I24</f>
        <v>15800</v>
      </c>
      <c r="L286" s="313">
        <f>Inputs!J24</f>
        <v>16500</v>
      </c>
      <c r="M286" s="368">
        <f>Inputs!K24</f>
        <v>17200</v>
      </c>
    </row>
    <row r="287" spans="1:81" s="46" customFormat="1" ht="15" customHeight="1" outlineLevel="1">
      <c r="B287" s="417"/>
      <c r="C287" s="53"/>
      <c r="D287" s="47"/>
      <c r="E287" s="47"/>
      <c r="F287" s="269"/>
      <c r="G287" s="269"/>
      <c r="H287" s="269"/>
      <c r="I287" s="44"/>
      <c r="J287" s="44"/>
      <c r="K287" s="44"/>
      <c r="L287" s="44"/>
      <c r="M287" s="44"/>
    </row>
    <row r="288" spans="1:81" ht="15" customHeight="1" outlineLevel="1">
      <c r="A288" s="46"/>
      <c r="B288" s="43"/>
      <c r="C288" s="53"/>
      <c r="D288" s="47"/>
      <c r="E288" s="47"/>
      <c r="F288" s="47"/>
      <c r="G288" s="47"/>
      <c r="H288" s="47"/>
      <c r="I288" s="49"/>
      <c r="J288" s="49"/>
      <c r="K288" s="49"/>
      <c r="L288" s="49"/>
      <c r="M288" s="49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</row>
    <row r="289" spans="2:15" s="46" customFormat="1" ht="15" customHeight="1" outlineLevel="1">
      <c r="B289" s="343" t="s">
        <v>200</v>
      </c>
      <c r="D289" s="406" t="s">
        <v>198</v>
      </c>
      <c r="E289" s="47"/>
      <c r="F289" s="47"/>
      <c r="G289" s="47"/>
      <c r="H289" s="47"/>
      <c r="I289" s="385" t="s">
        <v>197</v>
      </c>
      <c r="J289" s="384"/>
      <c r="K289" s="384"/>
      <c r="L289" s="384"/>
      <c r="M289" s="383"/>
    </row>
    <row r="290" spans="2:15" s="46" customFormat="1" ht="15" customHeight="1" outlineLevel="1">
      <c r="B290" s="294" t="s">
        <v>29</v>
      </c>
      <c r="C290" s="260"/>
      <c r="D290" s="416">
        <f>Inputs!L126</f>
        <v>5</v>
      </c>
      <c r="E290" s="47"/>
      <c r="F290" s="413"/>
      <c r="G290" s="47"/>
      <c r="H290" s="47"/>
      <c r="I290" s="415">
        <v>1</v>
      </c>
      <c r="J290" s="415">
        <f>I290+1</f>
        <v>2</v>
      </c>
      <c r="K290" s="415">
        <f>J290+1</f>
        <v>3</v>
      </c>
      <c r="L290" s="415">
        <f>K290+1</f>
        <v>4</v>
      </c>
      <c r="M290" s="415">
        <f>L290+1</f>
        <v>5</v>
      </c>
    </row>
    <row r="291" spans="2:15" s="46" customFormat="1" ht="15" customHeight="1" outlineLevel="1">
      <c r="B291" s="332" t="str">
        <f>CONCATENATE("PP&amp;E at End of ",H283)</f>
        <v>PP&amp;E at End of 2025</v>
      </c>
      <c r="C291" s="366"/>
      <c r="D291" s="414">
        <f>Inputs!$L$108</f>
        <v>49834</v>
      </c>
      <c r="E291" s="47"/>
      <c r="F291" s="413"/>
      <c r="G291" s="47"/>
      <c r="H291" s="412"/>
      <c r="I291" s="411">
        <f>MIN($D290-SUM($H291:H291),1)</f>
        <v>1</v>
      </c>
      <c r="J291" s="411">
        <f>MIN($D290-SUM($H291:I291),1)</f>
        <v>1</v>
      </c>
      <c r="K291" s="411">
        <f>MIN($D290-SUM($H291:J291),1)</f>
        <v>1</v>
      </c>
      <c r="L291" s="411">
        <f>MIN($D290-SUM($H291:K291),1)</f>
        <v>1</v>
      </c>
      <c r="M291" s="410">
        <f>MIN($D290-SUM($H291:L291),1)</f>
        <v>1</v>
      </c>
    </row>
    <row r="292" spans="2:15" s="46" customFormat="1" ht="15" customHeight="1" outlineLevel="1">
      <c r="B292" s="155"/>
      <c r="C292" s="408"/>
      <c r="D292" s="407"/>
      <c r="E292" s="47"/>
      <c r="F292" s="47"/>
      <c r="G292" s="47"/>
      <c r="H292" s="47"/>
      <c r="I292" s="399"/>
      <c r="J292" s="399"/>
      <c r="K292" s="399"/>
      <c r="L292" s="399"/>
      <c r="M292" s="399"/>
    </row>
    <row r="293" spans="2:15" s="46" customFormat="1" ht="15" customHeight="1" outlineLevel="1">
      <c r="B293" s="237"/>
      <c r="C293" s="122"/>
      <c r="D293" s="236"/>
      <c r="E293" s="236"/>
      <c r="F293" s="236"/>
      <c r="G293" s="236"/>
      <c r="H293" s="236"/>
      <c r="I293" s="235"/>
      <c r="J293" s="235"/>
      <c r="K293" s="235"/>
      <c r="L293" s="235"/>
      <c r="M293" s="235"/>
    </row>
    <row r="294" spans="2:15" s="46" customFormat="1" ht="15" customHeight="1" outlineLevel="1">
      <c r="B294" s="43"/>
      <c r="C294" s="53"/>
      <c r="D294" s="47"/>
      <c r="E294" s="47"/>
      <c r="F294" s="47"/>
      <c r="G294" s="47"/>
      <c r="H294" s="47"/>
      <c r="I294" s="49"/>
      <c r="J294" s="49"/>
      <c r="K294" s="49"/>
      <c r="L294" s="49"/>
      <c r="M294" s="49"/>
    </row>
    <row r="295" spans="2:15" s="46" customFormat="1" ht="15" customHeight="1" outlineLevel="1">
      <c r="B295" s="343" t="s">
        <v>199</v>
      </c>
      <c r="D295" s="406" t="s">
        <v>198</v>
      </c>
      <c r="E295" s="47"/>
      <c r="F295" s="47"/>
      <c r="G295" s="47"/>
      <c r="H295" s="47"/>
      <c r="I295" s="385" t="s">
        <v>197</v>
      </c>
      <c r="J295" s="384"/>
      <c r="K295" s="384"/>
      <c r="L295" s="384"/>
      <c r="M295" s="383"/>
    </row>
    <row r="296" spans="2:15" s="46" customFormat="1" ht="15" customHeight="1" outlineLevel="1">
      <c r="B296" s="294" t="s">
        <v>27</v>
      </c>
      <c r="C296" s="260"/>
      <c r="D296" s="405">
        <f>Inputs!$L$127</f>
        <v>7</v>
      </c>
      <c r="E296" s="47"/>
      <c r="F296" s="47"/>
      <c r="G296" s="47"/>
      <c r="H296" s="47"/>
      <c r="I296" s="404">
        <v>1</v>
      </c>
      <c r="J296" s="404">
        <f>I296+1</f>
        <v>2</v>
      </c>
      <c r="K296" s="404">
        <f>J296+1</f>
        <v>3</v>
      </c>
      <c r="L296" s="404">
        <f>K296+1</f>
        <v>4</v>
      </c>
      <c r="M296" s="404">
        <f>L296+1</f>
        <v>5</v>
      </c>
      <c r="O296" s="49"/>
    </row>
    <row r="297" spans="2:15" s="46" customFormat="1" ht="15" customHeight="1" outlineLevel="1">
      <c r="B297" s="332" t="s">
        <v>31</v>
      </c>
      <c r="C297" s="366"/>
      <c r="D297" s="403">
        <f>Inputs!L125</f>
        <v>0.5</v>
      </c>
      <c r="E297" s="47"/>
      <c r="F297" s="47"/>
      <c r="G297" s="47"/>
      <c r="H297" s="47"/>
      <c r="I297" s="402">
        <f>IF(H297="",$D$297,MIN($D296-SUM($H297:H297),1))</f>
        <v>0.5</v>
      </c>
      <c r="J297" s="401">
        <f>IF(I297="",$D$297,MIN($D296-SUM($H297:I297),1))</f>
        <v>1</v>
      </c>
      <c r="K297" s="401">
        <f>IF(J297="",$D$297,MIN($D296-SUM($H297:J297),1))</f>
        <v>1</v>
      </c>
      <c r="L297" s="401">
        <f>IF(K297="",$D$297,MIN($D296-SUM($H297:K297),1))</f>
        <v>1</v>
      </c>
      <c r="M297" s="331">
        <f>IF(L297="",$D$297,MIN($D296-SUM($H297:L297),1))</f>
        <v>1</v>
      </c>
      <c r="O297" s="49"/>
    </row>
    <row r="298" spans="2:15" s="46" customFormat="1" ht="15" customHeight="1" outlineLevel="1">
      <c r="B298" s="155"/>
      <c r="D298" s="400"/>
      <c r="E298" s="47"/>
      <c r="F298" s="47"/>
      <c r="G298" s="47"/>
      <c r="H298" s="47"/>
      <c r="I298" s="399"/>
      <c r="J298" s="399"/>
      <c r="K298" s="399"/>
      <c r="L298" s="399"/>
      <c r="M298" s="399"/>
      <c r="O298" s="49"/>
    </row>
    <row r="299" spans="2:15" s="46" customFormat="1" ht="15" customHeight="1" outlineLevel="1">
      <c r="B299" s="43"/>
      <c r="C299" s="53"/>
      <c r="D299" s="47"/>
      <c r="E299" s="47"/>
      <c r="F299" s="47"/>
      <c r="G299" s="47"/>
      <c r="H299" s="47"/>
      <c r="I299" s="385" t="s">
        <v>197</v>
      </c>
      <c r="J299" s="384"/>
      <c r="K299" s="384"/>
      <c r="L299" s="384"/>
      <c r="M299" s="383"/>
      <c r="O299" s="49"/>
    </row>
    <row r="300" spans="2:15" s="46" customFormat="1" ht="15" customHeight="1" outlineLevel="1">
      <c r="D300" s="250"/>
      <c r="F300" s="250" t="s">
        <v>194</v>
      </c>
      <c r="G300" s="250" t="s">
        <v>196</v>
      </c>
      <c r="H300" s="47"/>
      <c r="I300" s="382">
        <f>I$283</f>
        <v>2026</v>
      </c>
      <c r="J300" s="382">
        <f>J$283</f>
        <v>2027</v>
      </c>
      <c r="K300" s="382">
        <f>K$283</f>
        <v>2028</v>
      </c>
      <c r="L300" s="382">
        <f>L$283</f>
        <v>2029</v>
      </c>
      <c r="M300" s="382">
        <f>M$283</f>
        <v>2030</v>
      </c>
      <c r="O300" s="49"/>
    </row>
    <row r="301" spans="2:15" s="46" customFormat="1" ht="15" customHeight="1" outlineLevel="1">
      <c r="B301" s="43"/>
      <c r="D301" s="250"/>
      <c r="F301" s="381">
        <f>I283</f>
        <v>2026</v>
      </c>
      <c r="G301" s="397">
        <f>$D$296</f>
        <v>7</v>
      </c>
      <c r="H301" s="396"/>
      <c r="I301" s="395">
        <f>I297</f>
        <v>0.5</v>
      </c>
      <c r="J301" s="395">
        <f>J297</f>
        <v>1</v>
      </c>
      <c r="K301" s="395">
        <f>K297</f>
        <v>1</v>
      </c>
      <c r="L301" s="395">
        <f>L297</f>
        <v>1</v>
      </c>
      <c r="M301" s="394">
        <f>M297</f>
        <v>1</v>
      </c>
    </row>
    <row r="302" spans="2:15" s="46" customFormat="1" ht="15" customHeight="1" outlineLevel="1">
      <c r="B302" s="43"/>
      <c r="D302" s="250"/>
      <c r="F302" s="376">
        <f>F301+1</f>
        <v>2027</v>
      </c>
      <c r="G302" s="393">
        <f>$D$296</f>
        <v>7</v>
      </c>
      <c r="H302" s="392"/>
      <c r="I302" s="391">
        <f t="shared" ref="I302:M305" si="128">H301</f>
        <v>0</v>
      </c>
      <c r="J302" s="391">
        <f t="shared" si="128"/>
        <v>0.5</v>
      </c>
      <c r="K302" s="391">
        <f t="shared" si="128"/>
        <v>1</v>
      </c>
      <c r="L302" s="391">
        <f t="shared" si="128"/>
        <v>1</v>
      </c>
      <c r="M302" s="390">
        <f t="shared" si="128"/>
        <v>1</v>
      </c>
    </row>
    <row r="303" spans="2:15" s="46" customFormat="1" ht="15" customHeight="1" outlineLevel="1">
      <c r="B303" s="43"/>
      <c r="D303" s="250"/>
      <c r="F303" s="376">
        <f>F302+1</f>
        <v>2028</v>
      </c>
      <c r="G303" s="393">
        <f>$D$296</f>
        <v>7</v>
      </c>
      <c r="H303" s="392"/>
      <c r="I303" s="391">
        <f t="shared" si="128"/>
        <v>0</v>
      </c>
      <c r="J303" s="391">
        <f t="shared" si="128"/>
        <v>0</v>
      </c>
      <c r="K303" s="391">
        <f t="shared" si="128"/>
        <v>0.5</v>
      </c>
      <c r="L303" s="391">
        <f t="shared" si="128"/>
        <v>1</v>
      </c>
      <c r="M303" s="390">
        <f t="shared" si="128"/>
        <v>1</v>
      </c>
    </row>
    <row r="304" spans="2:15" s="46" customFormat="1" ht="15" customHeight="1" outlineLevel="1">
      <c r="B304" s="43"/>
      <c r="D304" s="250"/>
      <c r="F304" s="376">
        <f>F303+1</f>
        <v>2029</v>
      </c>
      <c r="G304" s="393">
        <f>$D$296</f>
        <v>7</v>
      </c>
      <c r="H304" s="392"/>
      <c r="I304" s="391">
        <f t="shared" si="128"/>
        <v>0</v>
      </c>
      <c r="J304" s="391">
        <f t="shared" si="128"/>
        <v>0</v>
      </c>
      <c r="K304" s="391">
        <f t="shared" si="128"/>
        <v>0</v>
      </c>
      <c r="L304" s="391">
        <f t="shared" si="128"/>
        <v>0.5</v>
      </c>
      <c r="M304" s="390">
        <f t="shared" si="128"/>
        <v>1</v>
      </c>
      <c r="O304" s="256"/>
    </row>
    <row r="305" spans="2:16" s="46" customFormat="1" ht="15" customHeight="1" outlineLevel="1">
      <c r="B305" s="43"/>
      <c r="D305" s="250"/>
      <c r="F305" s="372">
        <f>F304+1</f>
        <v>2030</v>
      </c>
      <c r="G305" s="389">
        <f>$D$296</f>
        <v>7</v>
      </c>
      <c r="H305" s="388"/>
      <c r="I305" s="387">
        <f t="shared" si="128"/>
        <v>0</v>
      </c>
      <c r="J305" s="387">
        <f t="shared" si="128"/>
        <v>0</v>
      </c>
      <c r="K305" s="387">
        <f t="shared" si="128"/>
        <v>0</v>
      </c>
      <c r="L305" s="387">
        <f t="shared" si="128"/>
        <v>0</v>
      </c>
      <c r="M305" s="386">
        <f t="shared" si="128"/>
        <v>0.5</v>
      </c>
      <c r="O305" s="34"/>
    </row>
    <row r="306" spans="2:16" s="46" customFormat="1" ht="15" customHeight="1" outlineLevel="1">
      <c r="B306" s="43"/>
      <c r="C306" s="53"/>
      <c r="D306" s="250"/>
      <c r="E306" s="47"/>
      <c r="F306" s="47"/>
      <c r="G306" s="47"/>
      <c r="H306" s="47"/>
      <c r="I306" s="49"/>
      <c r="J306" s="49"/>
      <c r="K306" s="49"/>
      <c r="L306" s="49"/>
      <c r="M306" s="49"/>
      <c r="O306" s="34"/>
    </row>
    <row r="307" spans="2:16" s="46" customFormat="1" ht="15" customHeight="1" outlineLevel="1">
      <c r="B307" s="43"/>
      <c r="C307" s="53"/>
      <c r="D307" s="47"/>
      <c r="E307" s="47"/>
      <c r="F307" s="47"/>
      <c r="G307" s="47"/>
      <c r="H307" s="47"/>
      <c r="I307" s="385" t="s">
        <v>195</v>
      </c>
      <c r="J307" s="384"/>
      <c r="K307" s="384"/>
      <c r="L307" s="384"/>
      <c r="M307" s="383"/>
      <c r="O307" s="276"/>
    </row>
    <row r="308" spans="2:16" s="46" customFormat="1" ht="15" customHeight="1" outlineLevel="1">
      <c r="E308" s="47"/>
      <c r="F308" s="250" t="s">
        <v>194</v>
      </c>
      <c r="G308" s="250" t="s">
        <v>193</v>
      </c>
      <c r="H308" s="250" t="s">
        <v>192</v>
      </c>
      <c r="I308" s="382">
        <f>I$283</f>
        <v>2026</v>
      </c>
      <c r="J308" s="382">
        <f>J$283</f>
        <v>2027</v>
      </c>
      <c r="K308" s="382">
        <f>K$283</f>
        <v>2028</v>
      </c>
      <c r="L308" s="382">
        <f>L$283</f>
        <v>2029</v>
      </c>
      <c r="M308" s="382">
        <f>M$283</f>
        <v>2030</v>
      </c>
      <c r="O308" s="276"/>
    </row>
    <row r="309" spans="2:16" s="46" customFormat="1" ht="15" customHeight="1" outlineLevel="1">
      <c r="B309" s="43"/>
      <c r="E309" s="47"/>
      <c r="F309" s="381">
        <f>F301</f>
        <v>2026</v>
      </c>
      <c r="G309" s="380">
        <f>SUMIF($I$283:$M$283,F309,$I$286:$M$286)</f>
        <v>14500</v>
      </c>
      <c r="H309" s="379">
        <f>G309/G301</f>
        <v>2071.4285714285716</v>
      </c>
      <c r="I309" s="378">
        <f t="shared" ref="I309:M313" si="129">$H309*I301</f>
        <v>1035.7142857142858</v>
      </c>
      <c r="J309" s="378">
        <f t="shared" si="129"/>
        <v>2071.4285714285716</v>
      </c>
      <c r="K309" s="378">
        <f t="shared" si="129"/>
        <v>2071.4285714285716</v>
      </c>
      <c r="L309" s="378">
        <f t="shared" si="129"/>
        <v>2071.4285714285716</v>
      </c>
      <c r="M309" s="377">
        <f t="shared" si="129"/>
        <v>2071.4285714285716</v>
      </c>
      <c r="O309" s="276"/>
    </row>
    <row r="310" spans="2:16" s="46" customFormat="1" ht="15" customHeight="1" outlineLevel="1">
      <c r="B310" s="43"/>
      <c r="E310" s="47"/>
      <c r="F310" s="376">
        <f>F302</f>
        <v>2027</v>
      </c>
      <c r="G310" s="375">
        <f>SUMIF($I$283:$M$283,F310,$I$286:$M$286)</f>
        <v>15200</v>
      </c>
      <c r="H310" s="374">
        <f>G310/G302</f>
        <v>2171.4285714285716</v>
      </c>
      <c r="I310" s="263">
        <f t="shared" si="129"/>
        <v>0</v>
      </c>
      <c r="J310" s="263">
        <f t="shared" si="129"/>
        <v>1085.7142857142858</v>
      </c>
      <c r="K310" s="263">
        <f t="shared" si="129"/>
        <v>2171.4285714285716</v>
      </c>
      <c r="L310" s="263">
        <f t="shared" si="129"/>
        <v>2171.4285714285716</v>
      </c>
      <c r="M310" s="373">
        <f t="shared" si="129"/>
        <v>2171.4285714285716</v>
      </c>
      <c r="O310" s="276"/>
    </row>
    <row r="311" spans="2:16" s="46" customFormat="1" ht="15" customHeight="1" outlineLevel="1">
      <c r="B311" s="43"/>
      <c r="E311" s="47"/>
      <c r="F311" s="376">
        <f>F303</f>
        <v>2028</v>
      </c>
      <c r="G311" s="375">
        <f>SUMIF($I$283:$M$283,F311,$I$286:$M$286)</f>
        <v>15800</v>
      </c>
      <c r="H311" s="374">
        <f>G311/G303</f>
        <v>2257.1428571428573</v>
      </c>
      <c r="I311" s="263">
        <f t="shared" si="129"/>
        <v>0</v>
      </c>
      <c r="J311" s="263">
        <f t="shared" si="129"/>
        <v>0</v>
      </c>
      <c r="K311" s="263">
        <f t="shared" si="129"/>
        <v>1128.5714285714287</v>
      </c>
      <c r="L311" s="263">
        <f t="shared" si="129"/>
        <v>2257.1428571428573</v>
      </c>
      <c r="M311" s="373">
        <f t="shared" si="129"/>
        <v>2257.1428571428573</v>
      </c>
      <c r="O311" s="276"/>
      <c r="P311" s="27"/>
    </row>
    <row r="312" spans="2:16" s="46" customFormat="1" ht="15" customHeight="1" outlineLevel="1">
      <c r="B312" s="43"/>
      <c r="E312" s="47"/>
      <c r="F312" s="376">
        <f>F304</f>
        <v>2029</v>
      </c>
      <c r="G312" s="375">
        <f>SUMIF($I$283:$M$283,F312,$I$286:$M$286)</f>
        <v>16500</v>
      </c>
      <c r="H312" s="374">
        <f>G312/G304</f>
        <v>2357.1428571428573</v>
      </c>
      <c r="I312" s="263">
        <f t="shared" si="129"/>
        <v>0</v>
      </c>
      <c r="J312" s="263">
        <f t="shared" si="129"/>
        <v>0</v>
      </c>
      <c r="K312" s="263">
        <f t="shared" si="129"/>
        <v>0</v>
      </c>
      <c r="L312" s="263">
        <f t="shared" si="129"/>
        <v>1178.5714285714287</v>
      </c>
      <c r="M312" s="373">
        <f t="shared" si="129"/>
        <v>2357.1428571428573</v>
      </c>
      <c r="O312" s="27"/>
    </row>
    <row r="313" spans="2:16" s="46" customFormat="1" ht="15" customHeight="1" outlineLevel="1">
      <c r="B313" s="43"/>
      <c r="E313" s="47"/>
      <c r="F313" s="372">
        <f>F305</f>
        <v>2030</v>
      </c>
      <c r="G313" s="371">
        <f>SUMIF($I$283:$M$283,F313,$I$286:$M$286)</f>
        <v>17200</v>
      </c>
      <c r="H313" s="370">
        <f>G313/G305</f>
        <v>2457.1428571428573</v>
      </c>
      <c r="I313" s="270">
        <f t="shared" si="129"/>
        <v>0</v>
      </c>
      <c r="J313" s="270">
        <f t="shared" si="129"/>
        <v>0</v>
      </c>
      <c r="K313" s="270">
        <f t="shared" si="129"/>
        <v>0</v>
      </c>
      <c r="L313" s="270">
        <f t="shared" si="129"/>
        <v>0</v>
      </c>
      <c r="M313" s="369">
        <f t="shared" si="129"/>
        <v>1228.5714285714287</v>
      </c>
      <c r="O313" s="256"/>
    </row>
    <row r="314" spans="2:16" s="46" customFormat="1" ht="15" customHeight="1" outlineLevel="1">
      <c r="B314" s="237"/>
      <c r="C314" s="122"/>
      <c r="D314" s="236"/>
      <c r="E314" s="236"/>
      <c r="F314" s="236"/>
      <c r="G314" s="236"/>
      <c r="H314" s="236"/>
      <c r="I314" s="235"/>
      <c r="J314" s="235"/>
      <c r="K314" s="235"/>
      <c r="L314" s="235"/>
      <c r="M314" s="235"/>
      <c r="O314" s="34"/>
    </row>
    <row r="315" spans="2:16" s="46" customFormat="1" ht="15" customHeight="1" outlineLevel="1">
      <c r="B315" s="43"/>
      <c r="C315" s="53"/>
      <c r="D315" s="47"/>
      <c r="E315" s="47"/>
      <c r="F315" s="47"/>
      <c r="G315" s="47"/>
      <c r="H315" s="47"/>
      <c r="I315" s="49"/>
      <c r="J315" s="49"/>
      <c r="K315" s="49"/>
      <c r="L315" s="49"/>
      <c r="M315" s="49"/>
      <c r="O315" s="34"/>
    </row>
    <row r="316" spans="2:16" s="46" customFormat="1" ht="15" customHeight="1" outlineLevel="1">
      <c r="B316" s="343" t="s">
        <v>191</v>
      </c>
      <c r="C316" s="53"/>
      <c r="D316" s="47"/>
      <c r="E316" s="47"/>
      <c r="F316" s="47"/>
      <c r="G316" s="47"/>
      <c r="H316" s="47"/>
      <c r="I316" s="49"/>
      <c r="J316" s="49"/>
      <c r="K316" s="49"/>
      <c r="L316" s="49"/>
      <c r="M316" s="49"/>
      <c r="O316" s="34"/>
    </row>
    <row r="317" spans="2:16" s="46" customFormat="1" ht="15" customHeight="1" outlineLevel="1">
      <c r="B317" s="255" t="s">
        <v>190</v>
      </c>
      <c r="C317" s="53"/>
      <c r="D317" s="47"/>
      <c r="E317" s="47"/>
      <c r="F317" s="134"/>
      <c r="G317" s="134"/>
      <c r="H317" s="134"/>
      <c r="I317" s="44">
        <f>($D$291/$D$290)*I291</f>
        <v>9966.7999999999993</v>
      </c>
      <c r="J317" s="44">
        <f>($D$291/$D$290)*J291</f>
        <v>9966.7999999999993</v>
      </c>
      <c r="K317" s="44">
        <f>($D$291/$D$290)*K291</f>
        <v>9966.7999999999993</v>
      </c>
      <c r="L317" s="44">
        <f>($D$291/$D$290)*L291</f>
        <v>9966.7999999999993</v>
      </c>
      <c r="M317" s="44">
        <f>($D$291/$D$290)*M291</f>
        <v>9966.7999999999993</v>
      </c>
      <c r="O317" s="34"/>
      <c r="P317" s="27"/>
    </row>
    <row r="318" spans="2:16" s="46" customFormat="1" ht="15" customHeight="1" outlineLevel="1">
      <c r="B318" s="255" t="s">
        <v>189</v>
      </c>
      <c r="C318" s="53"/>
      <c r="D318" s="47"/>
      <c r="E318" s="47"/>
      <c r="F318" s="47"/>
      <c r="G318" s="47"/>
      <c r="H318" s="47"/>
      <c r="I318" s="44">
        <f>SUM(I309:I313)</f>
        <v>1035.7142857142858</v>
      </c>
      <c r="J318" s="44">
        <f>SUM(J309:J313)</f>
        <v>3157.1428571428573</v>
      </c>
      <c r="K318" s="44">
        <f>SUM(K309:K313)</f>
        <v>5371.4285714285716</v>
      </c>
      <c r="L318" s="44">
        <f>SUM(L309:L313)</f>
        <v>7678.5714285714284</v>
      </c>
      <c r="M318" s="44">
        <f>SUM(M309:M313)</f>
        <v>10085.714285714286</v>
      </c>
      <c r="O318" s="34"/>
    </row>
    <row r="319" spans="2:16" s="46" customFormat="1" ht="15" customHeight="1" outlineLevel="1" thickBot="1">
      <c r="B319" s="255" t="s">
        <v>188</v>
      </c>
      <c r="C319" s="53"/>
      <c r="D319" s="47"/>
      <c r="E319" s="47"/>
      <c r="F319" s="47"/>
      <c r="G319" s="47"/>
      <c r="H319" s="47"/>
      <c r="I319" s="327">
        <f>SUM(I317:I318)</f>
        <v>11002.514285714286</v>
      </c>
      <c r="J319" s="327">
        <f>SUM(J317:J318)</f>
        <v>13123.942857142856</v>
      </c>
      <c r="K319" s="327">
        <f>SUM(K317:K318)</f>
        <v>15338.228571428572</v>
      </c>
      <c r="L319" s="327">
        <f>SUM(L317:L318)</f>
        <v>17645.371428571427</v>
      </c>
      <c r="M319" s="327">
        <f>SUM(M317:M318)</f>
        <v>20052.514285714286</v>
      </c>
    </row>
    <row r="320" spans="2:16" s="46" customFormat="1" ht="15" customHeight="1" outlineLevel="1">
      <c r="B320" s="43"/>
      <c r="C320" s="53"/>
      <c r="D320" s="47"/>
      <c r="E320" s="47"/>
      <c r="F320" s="47"/>
      <c r="G320" s="47"/>
      <c r="H320" s="47"/>
      <c r="I320" s="134"/>
      <c r="J320" s="134"/>
      <c r="K320" s="134"/>
      <c r="L320" s="134"/>
      <c r="M320" s="134"/>
    </row>
    <row r="321" spans="1:81" s="46" customFormat="1" ht="15" customHeight="1" outlineLevel="1">
      <c r="B321" s="43"/>
      <c r="C321" s="53"/>
      <c r="D321" s="47"/>
      <c r="E321" s="47"/>
      <c r="F321" s="47"/>
      <c r="G321" s="47"/>
      <c r="H321" s="47"/>
      <c r="I321" s="134"/>
      <c r="J321" s="134"/>
      <c r="K321" s="134"/>
      <c r="L321" s="134"/>
      <c r="M321" s="134"/>
      <c r="O321" s="256"/>
    </row>
    <row r="322" spans="1:81" s="46" customFormat="1" ht="15" customHeight="1" outlineLevel="1">
      <c r="C322" s="53"/>
      <c r="D322" s="47"/>
      <c r="E322" s="47"/>
      <c r="F322" s="47"/>
      <c r="G322" s="47"/>
      <c r="H322" s="47"/>
      <c r="I322" s="49"/>
      <c r="J322" s="49"/>
      <c r="K322" s="49"/>
      <c r="L322" s="49"/>
      <c r="M322" s="30" t="s">
        <v>187</v>
      </c>
      <c r="O322" s="256"/>
    </row>
    <row r="323" spans="1:81" s="46" customFormat="1" ht="15" customHeight="1" outlineLevel="1">
      <c r="C323" s="53"/>
      <c r="D323" s="47"/>
      <c r="E323" s="47"/>
      <c r="F323" s="47"/>
      <c r="G323" s="47"/>
      <c r="H323" s="47"/>
      <c r="I323" s="49"/>
      <c r="J323" s="49"/>
      <c r="K323" s="49"/>
      <c r="L323" s="49"/>
      <c r="M323" s="238" t="s">
        <v>186</v>
      </c>
      <c r="O323" s="34"/>
    </row>
    <row r="324" spans="1:81" ht="15" customHeight="1" outlineLevel="1">
      <c r="A324" s="46"/>
      <c r="B324" s="46"/>
      <c r="C324" s="53"/>
      <c r="D324" s="47"/>
      <c r="E324" s="47"/>
      <c r="F324" s="47"/>
      <c r="G324" s="47"/>
      <c r="H324" s="47"/>
      <c r="I324" s="49"/>
      <c r="J324" s="49"/>
      <c r="K324" s="49"/>
      <c r="L324" s="49"/>
      <c r="M324" s="303"/>
      <c r="N324" s="46"/>
      <c r="O324" s="34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</row>
    <row r="325" spans="1:81" s="46" customFormat="1" ht="15" customHeight="1" outlineLevel="1">
      <c r="B325" s="237"/>
      <c r="C325" s="122"/>
      <c r="D325" s="236"/>
      <c r="E325" s="236"/>
      <c r="F325" s="236"/>
      <c r="G325" s="236"/>
      <c r="H325" s="236"/>
      <c r="I325" s="235"/>
      <c r="J325" s="235"/>
      <c r="K325" s="235"/>
      <c r="L325" s="235"/>
      <c r="M325" s="235"/>
      <c r="N325" s="235"/>
      <c r="O325" s="256"/>
    </row>
    <row r="326" spans="1:81" s="46" customFormat="1" ht="15" customHeight="1">
      <c r="B326" s="43"/>
      <c r="C326" s="53"/>
      <c r="D326" s="47"/>
      <c r="E326" s="47"/>
      <c r="F326" s="47"/>
      <c r="G326" s="47"/>
      <c r="H326" s="47"/>
      <c r="I326" s="49"/>
      <c r="J326" s="49"/>
      <c r="K326" s="49"/>
      <c r="L326" s="49"/>
      <c r="M326" s="49"/>
      <c r="N326" s="49"/>
      <c r="O326" s="34"/>
    </row>
    <row r="327" spans="1:81" s="46" customFormat="1" ht="15" customHeight="1">
      <c r="A327" s="46" t="s">
        <v>0</v>
      </c>
      <c r="B327" s="57" t="s">
        <v>185</v>
      </c>
      <c r="C327" s="56"/>
      <c r="D327" s="55"/>
      <c r="E327" s="55"/>
      <c r="F327" s="54"/>
      <c r="G327" s="54"/>
      <c r="H327" s="54"/>
      <c r="I327" s="54"/>
      <c r="J327" s="54"/>
      <c r="K327" s="54"/>
      <c r="L327" s="54"/>
      <c r="M327" s="54"/>
      <c r="N327" s="302"/>
      <c r="O327" s="34"/>
    </row>
    <row r="328" spans="1:81" s="46" customFormat="1" ht="15" customHeight="1" outlineLevel="1">
      <c r="B328" s="183"/>
      <c r="C328" s="53"/>
      <c r="D328" s="52"/>
      <c r="E328" s="52"/>
      <c r="F328" s="51"/>
      <c r="G328" s="51"/>
      <c r="H328" s="51"/>
      <c r="I328" s="51"/>
      <c r="J328" s="51"/>
      <c r="K328" s="51"/>
      <c r="L328" s="51"/>
      <c r="M328" s="51"/>
      <c r="O328" s="34"/>
    </row>
    <row r="329" spans="1:81" s="46" customFormat="1" ht="15" customHeight="1" outlineLevel="1" thickBot="1">
      <c r="B329" s="43" t="s">
        <v>263</v>
      </c>
      <c r="C329" s="53"/>
      <c r="D329" s="47"/>
      <c r="E329" s="47"/>
      <c r="F329" s="51"/>
      <c r="G329" s="47"/>
      <c r="H329" s="354">
        <f t="shared" ref="H329:M329" si="130">H$141</f>
        <v>2025</v>
      </c>
      <c r="I329" s="234">
        <f t="shared" si="130"/>
        <v>2026</v>
      </c>
      <c r="J329" s="234">
        <f t="shared" si="130"/>
        <v>2027</v>
      </c>
      <c r="K329" s="234">
        <f t="shared" si="130"/>
        <v>2028</v>
      </c>
      <c r="L329" s="234">
        <f t="shared" si="130"/>
        <v>2029</v>
      </c>
      <c r="M329" s="234">
        <f t="shared" si="130"/>
        <v>2030</v>
      </c>
      <c r="N329" s="49"/>
      <c r="O329" s="34"/>
    </row>
    <row r="330" spans="1:81" s="46" customFormat="1" ht="15" customHeight="1" outlineLevel="1">
      <c r="A330" s="37"/>
      <c r="B330" s="43" t="str">
        <f>$B$142</f>
        <v>Model Running: Base Case Drivers</v>
      </c>
      <c r="C330" s="53"/>
      <c r="D330" s="47"/>
      <c r="E330" s="47"/>
      <c r="F330" s="47"/>
      <c r="G330" s="47"/>
      <c r="H330" s="47"/>
      <c r="I330" s="49"/>
      <c r="J330" s="49"/>
      <c r="K330" s="49"/>
      <c r="L330" s="49"/>
      <c r="M330" s="49"/>
      <c r="N330" s="49"/>
      <c r="O330" s="256"/>
    </row>
    <row r="331" spans="1:81" s="46" customFormat="1" ht="15" customHeight="1" outlineLevel="1">
      <c r="B331" s="43"/>
      <c r="C331" s="53"/>
      <c r="D331" s="47"/>
      <c r="E331" s="47"/>
      <c r="F331" s="47"/>
      <c r="G331" s="47"/>
      <c r="H331" s="47"/>
      <c r="I331" s="49"/>
      <c r="J331" s="49"/>
      <c r="K331" s="49"/>
      <c r="L331" s="49"/>
      <c r="M331" s="49"/>
      <c r="O331" s="256"/>
    </row>
    <row r="332" spans="1:81" s="46" customFormat="1" ht="15" customHeight="1" outlineLevel="1">
      <c r="B332" s="155" t="s">
        <v>99</v>
      </c>
      <c r="C332" s="53"/>
      <c r="D332" s="47"/>
      <c r="E332" s="47"/>
      <c r="F332" s="47"/>
      <c r="G332" s="44"/>
      <c r="H332" s="44"/>
      <c r="I332" s="314">
        <f>I286</f>
        <v>14500</v>
      </c>
      <c r="J332" s="313">
        <f>J286</f>
        <v>15200</v>
      </c>
      <c r="K332" s="313">
        <f>K286</f>
        <v>15800</v>
      </c>
      <c r="L332" s="313">
        <f>L286</f>
        <v>16500</v>
      </c>
      <c r="M332" s="368">
        <f>M286</f>
        <v>17200</v>
      </c>
      <c r="N332" s="44"/>
      <c r="O332" s="256"/>
    </row>
    <row r="333" spans="1:81" s="46" customFormat="1" ht="15" customHeight="1" outlineLevel="1">
      <c r="B333" s="43"/>
      <c r="C333" s="53"/>
      <c r="D333" s="47"/>
      <c r="E333" s="47"/>
      <c r="F333" s="47"/>
      <c r="G333" s="47"/>
      <c r="H333" s="47"/>
      <c r="I333" s="49"/>
      <c r="J333" s="49"/>
      <c r="K333" s="49"/>
      <c r="L333" s="49"/>
      <c r="M333" s="49"/>
      <c r="O333" s="256"/>
    </row>
    <row r="334" spans="1:81" s="46" customFormat="1" ht="15" customHeight="1" outlineLevel="1">
      <c r="B334" s="334" t="s">
        <v>346</v>
      </c>
      <c r="C334" s="367"/>
      <c r="D334" s="554">
        <v>1.2</v>
      </c>
      <c r="E334" s="47"/>
      <c r="F334" s="47"/>
      <c r="G334" s="47"/>
      <c r="H334" s="47"/>
      <c r="I334" s="49"/>
      <c r="J334" s="49"/>
      <c r="K334" s="49"/>
      <c r="L334" s="49"/>
      <c r="M334" s="49"/>
      <c r="O334" s="256"/>
    </row>
    <row r="335" spans="1:81" s="46" customFormat="1" ht="15" customHeight="1" outlineLevel="1">
      <c r="B335" s="291"/>
      <c r="C335" s="366"/>
      <c r="D335" s="365"/>
      <c r="E335" s="47"/>
      <c r="F335" s="47"/>
      <c r="G335" s="47"/>
      <c r="H335" s="47"/>
      <c r="J335" s="49"/>
      <c r="K335" s="49"/>
      <c r="L335" s="49"/>
      <c r="M335" s="49"/>
      <c r="O335" s="256"/>
    </row>
    <row r="336" spans="1:81" s="46" customFormat="1" ht="15" customHeight="1" outlineLevel="1">
      <c r="B336" s="38"/>
      <c r="C336" s="280"/>
      <c r="D336" s="364"/>
      <c r="E336" s="47"/>
      <c r="F336" s="47"/>
      <c r="G336" s="47"/>
      <c r="H336" s="47"/>
      <c r="I336" s="363"/>
      <c r="J336" s="363"/>
      <c r="K336" s="363"/>
      <c r="L336" s="363"/>
      <c r="M336" s="363"/>
      <c r="O336" s="34"/>
    </row>
    <row r="337" spans="1:81" s="46" customFormat="1" ht="15" customHeight="1" outlineLevel="1">
      <c r="B337" s="38"/>
      <c r="C337" s="280"/>
      <c r="D337" s="364"/>
      <c r="E337" s="47"/>
      <c r="F337" s="47"/>
      <c r="G337" s="47"/>
      <c r="H337" s="47"/>
      <c r="I337" s="363"/>
      <c r="J337" s="363"/>
      <c r="K337" s="363"/>
      <c r="L337" s="363"/>
      <c r="M337" s="363"/>
      <c r="O337" s="256"/>
    </row>
    <row r="338" spans="1:81" s="46" customFormat="1" ht="15" customHeight="1" outlineLevel="1">
      <c r="B338" s="343" t="s">
        <v>184</v>
      </c>
      <c r="C338" s="53"/>
      <c r="D338" s="47"/>
      <c r="E338" s="47"/>
      <c r="F338" s="47"/>
      <c r="G338" s="47"/>
      <c r="H338" s="47"/>
      <c r="I338" s="49"/>
      <c r="J338" s="49"/>
      <c r="K338" s="49"/>
      <c r="L338" s="49"/>
      <c r="M338" s="49"/>
      <c r="O338" s="256"/>
    </row>
    <row r="339" spans="1:81" ht="15" customHeight="1" outlineLevel="1">
      <c r="A339" s="46"/>
      <c r="B339" s="255" t="s">
        <v>164</v>
      </c>
      <c r="C339" s="53"/>
      <c r="D339" s="47"/>
      <c r="E339" s="47"/>
      <c r="F339" s="47"/>
      <c r="G339" s="134"/>
      <c r="H339" s="44"/>
      <c r="I339" s="44">
        <f>H342</f>
        <v>49834</v>
      </c>
      <c r="J339" s="44">
        <f>I342</f>
        <v>53331.485714285714</v>
      </c>
      <c r="K339" s="44">
        <f>J342</f>
        <v>55407.542857142864</v>
      </c>
      <c r="L339" s="44">
        <f>K342</f>
        <v>55869.314285714296</v>
      </c>
      <c r="M339" s="44">
        <f>L342</f>
        <v>54723.942857142873</v>
      </c>
      <c r="N339" s="44"/>
      <c r="O339" s="25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</row>
    <row r="340" spans="1:81" ht="15" customHeight="1" outlineLevel="1">
      <c r="A340" s="46"/>
      <c r="B340" s="255" t="s">
        <v>99</v>
      </c>
      <c r="C340" s="53"/>
      <c r="D340" s="47"/>
      <c r="E340" s="47"/>
      <c r="F340" s="47"/>
      <c r="G340" s="134"/>
      <c r="H340" s="362"/>
      <c r="I340" s="44">
        <f>I332</f>
        <v>14500</v>
      </c>
      <c r="J340" s="44">
        <f>J332</f>
        <v>15200</v>
      </c>
      <c r="K340" s="44">
        <f>K332</f>
        <v>15800</v>
      </c>
      <c r="L340" s="44">
        <f>L332</f>
        <v>16500</v>
      </c>
      <c r="M340" s="44">
        <f>M332</f>
        <v>17200</v>
      </c>
      <c r="N340" s="44"/>
      <c r="O340" s="25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</row>
    <row r="341" spans="1:81" ht="15" customHeight="1" outlineLevel="1">
      <c r="A341" s="46"/>
      <c r="B341" s="255" t="s">
        <v>183</v>
      </c>
      <c r="C341" s="53"/>
      <c r="D341" s="47"/>
      <c r="E341" s="47"/>
      <c r="F341" s="47"/>
      <c r="G341" s="134"/>
      <c r="H341" s="267"/>
      <c r="I341" s="267">
        <f>-I319</f>
        <v>-11002.514285714286</v>
      </c>
      <c r="J341" s="267">
        <f>-J319</f>
        <v>-13123.942857142856</v>
      </c>
      <c r="K341" s="267">
        <f>-K319</f>
        <v>-15338.228571428572</v>
      </c>
      <c r="L341" s="267">
        <f>-L319</f>
        <v>-17645.371428571427</v>
      </c>
      <c r="M341" s="267">
        <f>-M319</f>
        <v>-20052.514285714286</v>
      </c>
      <c r="N341" s="44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</row>
    <row r="342" spans="1:81" s="46" customFormat="1" ht="15" customHeight="1" outlineLevel="1">
      <c r="B342" s="255" t="s">
        <v>161</v>
      </c>
      <c r="C342" s="53"/>
      <c r="D342" s="47"/>
      <c r="E342" s="47"/>
      <c r="F342" s="361"/>
      <c r="G342" s="134"/>
      <c r="H342" s="358">
        <f>$D$291</f>
        <v>49834</v>
      </c>
      <c r="I342" s="44">
        <f>SUM(I339:I341)</f>
        <v>53331.485714285714</v>
      </c>
      <c r="J342" s="44">
        <f>SUM(J339:J341)</f>
        <v>55407.542857142864</v>
      </c>
      <c r="K342" s="44">
        <f>SUM(K339:K341)</f>
        <v>55869.314285714296</v>
      </c>
      <c r="L342" s="44">
        <f>SUM(L339:L341)</f>
        <v>54723.942857142873</v>
      </c>
      <c r="M342" s="44">
        <f>SUM(M339:M341)</f>
        <v>51871.428571428587</v>
      </c>
      <c r="N342" s="44"/>
    </row>
    <row r="343" spans="1:81" s="46" customFormat="1" ht="15" customHeight="1" outlineLevel="1">
      <c r="B343" s="43"/>
      <c r="C343" s="53"/>
      <c r="D343" s="47"/>
      <c r="E343" s="47"/>
      <c r="F343" s="47"/>
      <c r="G343" s="47"/>
      <c r="H343" s="335"/>
      <c r="I343" s="335"/>
      <c r="J343" s="335"/>
      <c r="K343" s="335"/>
      <c r="L343" s="335"/>
      <c r="M343" s="335"/>
      <c r="N343" s="335"/>
    </row>
    <row r="344" spans="1:81" s="46" customFormat="1" ht="15" customHeight="1" outlineLevel="1">
      <c r="B344" s="43"/>
      <c r="C344" s="53"/>
      <c r="D344" s="47"/>
      <c r="E344" s="47"/>
      <c r="F344" s="47"/>
      <c r="G344" s="47"/>
      <c r="H344" s="335"/>
      <c r="I344" s="335"/>
      <c r="J344" s="335"/>
      <c r="K344" s="335"/>
      <c r="L344" s="335"/>
      <c r="M344" s="335"/>
      <c r="N344" s="335"/>
      <c r="O344" s="34"/>
    </row>
    <row r="345" spans="1:81" s="46" customFormat="1" ht="15" customHeight="1" outlineLevel="1">
      <c r="B345" s="343" t="s">
        <v>182</v>
      </c>
      <c r="C345" s="53"/>
      <c r="D345" s="47"/>
      <c r="E345" s="47"/>
      <c r="F345" s="47"/>
      <c r="G345" s="47"/>
      <c r="H345" s="335"/>
      <c r="I345" s="335"/>
      <c r="J345" s="335"/>
      <c r="K345" s="335"/>
      <c r="L345" s="335"/>
      <c r="M345" s="335"/>
      <c r="N345" s="335"/>
      <c r="O345" s="29"/>
      <c r="P345" s="37"/>
    </row>
    <row r="346" spans="1:81" s="46" customFormat="1" ht="15" customHeight="1" outlineLevel="1">
      <c r="B346" s="255" t="s">
        <v>164</v>
      </c>
      <c r="C346" s="53"/>
      <c r="D346" s="47"/>
      <c r="E346" s="47"/>
      <c r="F346" s="47"/>
      <c r="G346" s="134"/>
      <c r="H346" s="44"/>
      <c r="I346" s="44">
        <f>H349</f>
        <v>34800</v>
      </c>
      <c r="J346" s="44">
        <f>I349</f>
        <v>36096.982857142859</v>
      </c>
      <c r="K346" s="44">
        <f>J349</f>
        <v>35548.251428571428</v>
      </c>
      <c r="L346" s="44">
        <f>K349</f>
        <v>32942.377142857142</v>
      </c>
      <c r="M346" s="44">
        <f>L349</f>
        <v>28267.931428571432</v>
      </c>
      <c r="N346" s="44"/>
      <c r="O346" s="34"/>
    </row>
    <row r="347" spans="1:81" s="46" customFormat="1" ht="15" customHeight="1" outlineLevel="1">
      <c r="B347" s="255" t="s">
        <v>99</v>
      </c>
      <c r="C347" s="53"/>
      <c r="D347" s="47"/>
      <c r="E347" s="47"/>
      <c r="F347" s="47"/>
      <c r="G347" s="134"/>
      <c r="H347" s="44"/>
      <c r="I347" s="44">
        <f>I340</f>
        <v>14500</v>
      </c>
      <c r="J347" s="44">
        <f>J340</f>
        <v>15200</v>
      </c>
      <c r="K347" s="44">
        <f>K340</f>
        <v>15800</v>
      </c>
      <c r="L347" s="44">
        <f>L340</f>
        <v>16500</v>
      </c>
      <c r="M347" s="44">
        <f>M340</f>
        <v>17200</v>
      </c>
      <c r="N347" s="44"/>
      <c r="O347" s="34"/>
    </row>
    <row r="348" spans="1:81" s="46" customFormat="1" ht="15" customHeight="1" outlineLevel="1">
      <c r="B348" s="255" t="s">
        <v>181</v>
      </c>
      <c r="H348" s="360"/>
      <c r="I348" s="267">
        <f>I341*$D$334</f>
        <v>-13203.017142857143</v>
      </c>
      <c r="J348" s="267">
        <f>J341*$D$334</f>
        <v>-15748.731428571427</v>
      </c>
      <c r="K348" s="267">
        <f>K341*$D$334</f>
        <v>-18405.874285714286</v>
      </c>
      <c r="L348" s="267">
        <f>L341*$D$334</f>
        <v>-21174.44571428571</v>
      </c>
      <c r="M348" s="267">
        <f>M341*$D$334</f>
        <v>-24063.017142857141</v>
      </c>
      <c r="N348" s="44"/>
      <c r="O348" s="34"/>
    </row>
    <row r="349" spans="1:81" s="46" customFormat="1" ht="15" customHeight="1" outlineLevel="1">
      <c r="B349" s="255" t="s">
        <v>161</v>
      </c>
      <c r="C349" s="53"/>
      <c r="D349" s="47"/>
      <c r="E349" s="47"/>
      <c r="F349" s="262"/>
      <c r="G349" s="134"/>
      <c r="H349" s="358">
        <f>Inputs!$L$109</f>
        <v>34800</v>
      </c>
      <c r="I349" s="44">
        <f>SUM(I346:I348)</f>
        <v>36096.982857142859</v>
      </c>
      <c r="J349" s="44">
        <f>SUM(J346:J348)</f>
        <v>35548.251428571428</v>
      </c>
      <c r="K349" s="44">
        <f>SUM(K346:K348)</f>
        <v>32942.377142857142</v>
      </c>
      <c r="L349" s="44">
        <f>SUM(L346:L348)</f>
        <v>28267.931428571432</v>
      </c>
      <c r="M349" s="44">
        <f>SUM(M346:M348)</f>
        <v>21404.914285714294</v>
      </c>
      <c r="N349" s="44"/>
      <c r="O349" s="256"/>
    </row>
    <row r="350" spans="1:81" ht="15" customHeight="1" outlineLevel="1">
      <c r="A350" s="46"/>
      <c r="B350" s="43"/>
      <c r="C350" s="53"/>
      <c r="D350" s="47"/>
      <c r="E350" s="47"/>
      <c r="F350" s="47"/>
      <c r="G350" s="47"/>
      <c r="H350" s="47"/>
      <c r="I350" s="49"/>
      <c r="J350" s="49"/>
      <c r="K350" s="49"/>
      <c r="L350" s="49"/>
      <c r="M350" s="49"/>
      <c r="N350" s="46"/>
      <c r="O350" s="25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</row>
    <row r="351" spans="1:81" ht="15" customHeight="1" outlineLevel="1">
      <c r="A351" s="46"/>
      <c r="B351" s="43"/>
      <c r="C351" s="53"/>
      <c r="D351" s="47"/>
      <c r="E351" s="47"/>
      <c r="F351" s="47"/>
      <c r="G351" s="47"/>
      <c r="H351" s="47"/>
      <c r="I351" s="49"/>
      <c r="J351" s="49"/>
      <c r="K351" s="49"/>
      <c r="L351" s="49"/>
      <c r="M351" s="49"/>
      <c r="N351" s="46"/>
      <c r="O351" s="25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</row>
    <row r="352" spans="1:81" ht="15" customHeight="1" outlineLevel="1">
      <c r="A352" s="46"/>
      <c r="B352" s="43"/>
      <c r="C352" s="53"/>
      <c r="D352" s="47"/>
      <c r="E352" s="47"/>
      <c r="F352" s="47"/>
      <c r="G352" s="47"/>
      <c r="H352" s="47"/>
      <c r="I352" s="49"/>
      <c r="J352" s="49"/>
      <c r="K352" s="49"/>
      <c r="L352" s="49"/>
      <c r="M352" s="30" t="s">
        <v>180</v>
      </c>
      <c r="N352" s="46"/>
      <c r="O352" s="27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</row>
    <row r="353" spans="1:81" ht="15" customHeight="1" outlineLevel="1">
      <c r="A353" s="46"/>
      <c r="B353" s="43"/>
      <c r="C353" s="53"/>
      <c r="D353" s="47"/>
      <c r="E353" s="47"/>
      <c r="F353" s="47"/>
      <c r="G353" s="47"/>
      <c r="H353" s="47"/>
      <c r="I353" s="49"/>
      <c r="J353" s="49"/>
      <c r="K353" s="49"/>
      <c r="L353" s="49"/>
      <c r="M353" s="303"/>
      <c r="N353" s="46"/>
      <c r="O353" s="25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</row>
    <row r="354" spans="1:81" ht="15" customHeight="1" outlineLevel="1">
      <c r="A354" s="46"/>
      <c r="B354" s="237"/>
      <c r="C354" s="122"/>
      <c r="D354" s="236"/>
      <c r="E354" s="236"/>
      <c r="F354" s="236"/>
      <c r="G354" s="236"/>
      <c r="H354" s="236"/>
      <c r="I354" s="235"/>
      <c r="J354" s="235"/>
      <c r="K354" s="235"/>
      <c r="L354" s="235"/>
      <c r="M354" s="235"/>
      <c r="N354" s="235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</row>
    <row r="355" spans="1:81" ht="15" customHeight="1">
      <c r="A355" s="46"/>
      <c r="B355" s="43"/>
      <c r="C355" s="53"/>
      <c r="D355" s="47"/>
      <c r="E355" s="47"/>
      <c r="F355" s="47"/>
      <c r="G355" s="47"/>
      <c r="H355" s="47"/>
      <c r="I355" s="49"/>
      <c r="J355" s="49"/>
      <c r="K355" s="49"/>
      <c r="L355" s="49"/>
      <c r="M355" s="49"/>
      <c r="N355" s="49"/>
      <c r="O355" s="25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</row>
    <row r="356" spans="1:81" s="46" customFormat="1" ht="15" customHeight="1">
      <c r="A356" s="46" t="s">
        <v>0</v>
      </c>
      <c r="B356" s="57" t="s">
        <v>179</v>
      </c>
      <c r="C356" s="56"/>
      <c r="D356" s="55"/>
      <c r="E356" s="55"/>
      <c r="F356" s="54"/>
      <c r="G356" s="54"/>
      <c r="H356" s="54"/>
      <c r="I356" s="54"/>
      <c r="J356" s="54"/>
      <c r="K356" s="54"/>
      <c r="L356" s="54"/>
      <c r="M356" s="54"/>
      <c r="N356" s="302"/>
      <c r="O356" s="34"/>
    </row>
    <row r="357" spans="1:81" s="46" customFormat="1" ht="15" customHeight="1" outlineLevel="1">
      <c r="B357" s="183"/>
      <c r="C357" s="53"/>
      <c r="D357" s="52"/>
      <c r="E357" s="52"/>
      <c r="F357" s="51"/>
      <c r="G357" s="51"/>
      <c r="H357" s="51"/>
      <c r="I357" s="51"/>
      <c r="J357" s="51"/>
      <c r="K357" s="51"/>
      <c r="L357" s="51"/>
      <c r="M357" s="51"/>
      <c r="O357" s="34"/>
    </row>
    <row r="358" spans="1:81" ht="15" customHeight="1" outlineLevel="1" thickBot="1">
      <c r="A358" s="46"/>
      <c r="B358" s="43" t="s">
        <v>263</v>
      </c>
      <c r="C358" s="53"/>
      <c r="D358" s="47"/>
      <c r="E358" s="47"/>
      <c r="F358" s="47"/>
      <c r="G358" s="47"/>
      <c r="H358" s="354">
        <f t="shared" ref="H358:M358" si="131">H$141</f>
        <v>2025</v>
      </c>
      <c r="I358" s="234">
        <f t="shared" si="131"/>
        <v>2026</v>
      </c>
      <c r="J358" s="234">
        <f t="shared" si="131"/>
        <v>2027</v>
      </c>
      <c r="K358" s="234">
        <f t="shared" si="131"/>
        <v>2028</v>
      </c>
      <c r="L358" s="234">
        <f t="shared" si="131"/>
        <v>2029</v>
      </c>
      <c r="M358" s="234">
        <f t="shared" si="131"/>
        <v>2030</v>
      </c>
      <c r="N358" s="49"/>
      <c r="O358" s="34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</row>
    <row r="359" spans="1:81" s="37" customFormat="1" ht="15" customHeight="1" outlineLevel="1">
      <c r="B359" s="43" t="str">
        <f>$B$142</f>
        <v>Model Running: Base Case Drivers</v>
      </c>
      <c r="C359" s="53"/>
      <c r="D359" s="47"/>
      <c r="E359" s="47"/>
      <c r="F359" s="47"/>
      <c r="G359" s="47"/>
      <c r="H359" s="47"/>
      <c r="I359" s="49"/>
      <c r="J359" s="49"/>
      <c r="K359" s="49"/>
      <c r="L359" s="49"/>
      <c r="M359" s="49"/>
      <c r="N359" s="49"/>
      <c r="O359" s="34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</row>
    <row r="360" spans="1:81" s="46" customFormat="1" ht="15" customHeight="1" outlineLevel="1">
      <c r="B360" s="43"/>
      <c r="C360" s="53"/>
      <c r="D360" s="47"/>
      <c r="E360" s="47"/>
      <c r="F360" s="47"/>
      <c r="G360" s="47"/>
      <c r="H360" s="47"/>
      <c r="I360" s="49"/>
      <c r="J360" s="49"/>
      <c r="K360" s="49"/>
      <c r="L360" s="49"/>
      <c r="M360" s="49"/>
      <c r="O360" s="34"/>
      <c r="P360" s="27"/>
    </row>
    <row r="361" spans="1:81" s="46" customFormat="1" ht="15" customHeight="1" outlineLevel="1">
      <c r="B361" s="155" t="s">
        <v>178</v>
      </c>
      <c r="C361" s="53"/>
      <c r="D361" s="47"/>
      <c r="E361" s="47"/>
      <c r="G361" s="134"/>
      <c r="H361" s="44"/>
      <c r="I361" s="353">
        <f ca="1">I29</f>
        <v>141880.63510369349</v>
      </c>
      <c r="J361" s="282">
        <f ca="1">J29</f>
        <v>148211.83804146812</v>
      </c>
      <c r="K361" s="282">
        <f ca="1">K29</f>
        <v>152635.55804881785</v>
      </c>
      <c r="L361" s="282">
        <f ca="1">L29</f>
        <v>155148.58803067112</v>
      </c>
      <c r="M361" s="247">
        <f ca="1">M29</f>
        <v>158070.91938339322</v>
      </c>
      <c r="N361" s="44"/>
    </row>
    <row r="362" spans="1:81" s="46" customFormat="1" ht="15" customHeight="1" outlineLevel="1">
      <c r="B362" s="155" t="s">
        <v>174</v>
      </c>
      <c r="C362" s="53"/>
      <c r="D362" s="47"/>
      <c r="E362" s="47"/>
      <c r="F362" s="47"/>
      <c r="G362" s="47"/>
      <c r="H362" s="47"/>
      <c r="I362" s="352">
        <f ca="1">IF(I373&gt;0,1,0)</f>
        <v>1</v>
      </c>
      <c r="J362" s="351">
        <f ca="1">IF(J373&gt;0,1,0)</f>
        <v>1</v>
      </c>
      <c r="K362" s="351">
        <f ca="1">IF(K373&gt;0,1,0)</f>
        <v>1</v>
      </c>
      <c r="L362" s="351">
        <f ca="1">IF(L373&gt;0,1,0)</f>
        <v>1</v>
      </c>
      <c r="M362" s="350">
        <f ca="1">IF(M373&gt;0,1,0)</f>
        <v>1</v>
      </c>
      <c r="N362" s="349"/>
    </row>
    <row r="363" spans="1:81" s="46" customFormat="1" ht="15" customHeight="1" outlineLevel="1">
      <c r="B363" s="43"/>
      <c r="C363" s="53"/>
      <c r="D363" s="47"/>
      <c r="E363" s="47"/>
      <c r="F363" s="47"/>
      <c r="G363" s="47"/>
      <c r="H363" s="47"/>
      <c r="I363" s="49"/>
      <c r="J363" s="49"/>
      <c r="K363" s="49"/>
      <c r="L363" s="49"/>
      <c r="M363" s="49"/>
      <c r="O363" s="256"/>
    </row>
    <row r="364" spans="1:81" s="46" customFormat="1" ht="15" customHeight="1" outlineLevel="1">
      <c r="B364" s="334" t="s">
        <v>64</v>
      </c>
      <c r="C364" s="348"/>
      <c r="D364" s="347">
        <f>$C$11</f>
        <v>0.18099999999999999</v>
      </c>
      <c r="E364" s="47"/>
      <c r="F364" s="47"/>
      <c r="G364" s="47"/>
      <c r="H364" s="47"/>
      <c r="I364" s="49"/>
      <c r="J364" s="49"/>
      <c r="K364" s="49"/>
      <c r="L364" s="49"/>
      <c r="M364" s="49"/>
      <c r="O364" s="256"/>
    </row>
    <row r="365" spans="1:81" s="46" customFormat="1" ht="15" customHeight="1" outlineLevel="1">
      <c r="A365" s="553"/>
      <c r="B365" t="s">
        <v>346</v>
      </c>
      <c r="C365" s="552"/>
      <c r="D365" s="553">
        <v>1.2</v>
      </c>
      <c r="E365" s="47"/>
      <c r="F365" s="47"/>
      <c r="G365" s="47"/>
      <c r="H365" s="47"/>
      <c r="I365" s="49"/>
      <c r="J365" s="49"/>
      <c r="K365" s="49"/>
      <c r="L365" s="49"/>
      <c r="M365" s="49"/>
      <c r="O365" s="256"/>
    </row>
    <row r="366" spans="1:81" s="46" customFormat="1" ht="15" customHeight="1" outlineLevel="1">
      <c r="B366" s="346" t="s">
        <v>173</v>
      </c>
      <c r="C366" s="122"/>
      <c r="D366" s="345">
        <f ca="1">IF(M384=0,0,1)</f>
        <v>0</v>
      </c>
      <c r="E366" s="47"/>
      <c r="F366" s="44"/>
      <c r="G366" s="359"/>
      <c r="H366" s="44"/>
      <c r="I366" s="44"/>
      <c r="J366" s="44"/>
      <c r="K366" s="44"/>
      <c r="L366" s="44"/>
      <c r="M366" s="27"/>
      <c r="N366" s="27"/>
      <c r="O366" s="34"/>
    </row>
    <row r="367" spans="1:81" s="46" customFormat="1" ht="15" customHeight="1" outlineLevel="1">
      <c r="B367" s="43"/>
      <c r="C367" s="53"/>
      <c r="D367" s="344"/>
      <c r="E367" s="47"/>
      <c r="F367" s="47"/>
      <c r="G367" s="47"/>
      <c r="H367" s="47"/>
      <c r="I367" s="49"/>
      <c r="J367" s="49"/>
      <c r="K367" s="49"/>
      <c r="L367" s="49"/>
      <c r="M367" s="49"/>
      <c r="O367" s="34"/>
    </row>
    <row r="368" spans="1:81" s="46" customFormat="1" ht="15" customHeight="1" outlineLevel="1">
      <c r="B368" s="43"/>
      <c r="C368" s="53"/>
      <c r="D368" s="344"/>
      <c r="E368" s="47"/>
      <c r="F368" s="47"/>
      <c r="G368" s="47"/>
      <c r="H368" s="47"/>
      <c r="I368" s="49"/>
      <c r="J368" s="49"/>
      <c r="K368" s="49"/>
      <c r="L368" s="49"/>
      <c r="M368" s="49"/>
      <c r="O368" s="256"/>
    </row>
    <row r="369" spans="2:15" s="46" customFormat="1" ht="15" customHeight="1" outlineLevel="1">
      <c r="B369" s="250" t="s">
        <v>172</v>
      </c>
      <c r="C369" s="53"/>
      <c r="D369" s="47"/>
      <c r="E369" s="47"/>
      <c r="F369" s="47"/>
      <c r="G369" s="47"/>
      <c r="H369" s="47"/>
      <c r="I369" s="49"/>
      <c r="J369" s="49"/>
      <c r="K369" s="49"/>
      <c r="L369" s="49"/>
      <c r="M369" s="49"/>
      <c r="O369" s="34"/>
    </row>
    <row r="370" spans="2:15" s="46" customFormat="1" ht="15" customHeight="1" outlineLevel="1">
      <c r="B370" s="255" t="s">
        <v>149</v>
      </c>
      <c r="C370" s="53"/>
      <c r="D370" s="47"/>
      <c r="E370" s="47"/>
      <c r="F370" s="47"/>
      <c r="G370" s="47"/>
      <c r="H370" s="44"/>
      <c r="I370" s="44">
        <f ca="1">I361</f>
        <v>141880.63510369349</v>
      </c>
      <c r="J370" s="44">
        <f ca="1">J361</f>
        <v>148211.83804146812</v>
      </c>
      <c r="K370" s="44">
        <f ca="1">K361</f>
        <v>152635.55804881785</v>
      </c>
      <c r="L370" s="44">
        <f ca="1">L361</f>
        <v>155148.58803067112</v>
      </c>
      <c r="M370" s="44">
        <f ca="1">M361</f>
        <v>158070.91938339322</v>
      </c>
      <c r="N370" s="44"/>
      <c r="O370" s="34"/>
    </row>
    <row r="371" spans="2:15" s="46" customFormat="1" ht="15" customHeight="1" outlineLevel="1">
      <c r="B371" s="255" t="s">
        <v>171</v>
      </c>
      <c r="C371" s="53"/>
      <c r="D371" s="47"/>
      <c r="E371" s="47"/>
      <c r="F371" s="47"/>
      <c r="G371" s="47"/>
      <c r="H371" s="335"/>
      <c r="I371" s="44">
        <f>-I$341</f>
        <v>11002.514285714286</v>
      </c>
      <c r="J371" s="44">
        <f>-J$341</f>
        <v>13123.942857142856</v>
      </c>
      <c r="K371" s="44">
        <f>-K$341</f>
        <v>15338.228571428572</v>
      </c>
      <c r="L371" s="44">
        <f>-L$341</f>
        <v>17645.371428571427</v>
      </c>
      <c r="M371" s="44">
        <f>-M$341</f>
        <v>20052.514285714286</v>
      </c>
      <c r="N371" s="44"/>
      <c r="O371" s="34"/>
    </row>
    <row r="372" spans="2:15" s="46" customFormat="1" ht="15" customHeight="1" outlineLevel="1">
      <c r="B372" s="255" t="s">
        <v>170</v>
      </c>
      <c r="C372" s="53"/>
      <c r="D372" s="47"/>
      <c r="E372" s="47"/>
      <c r="F372" s="47"/>
      <c r="G372" s="47"/>
      <c r="H372" s="335"/>
      <c r="I372" s="267">
        <f>-(I371*$D$365)</f>
        <v>-13203.017142857143</v>
      </c>
      <c r="J372" s="267">
        <f>-(J371*$D$365)</f>
        <v>-15748.731428571427</v>
      </c>
      <c r="K372" s="267">
        <f>-(K371*$D$365)</f>
        <v>-18405.874285714286</v>
      </c>
      <c r="L372" s="267">
        <f>-(L371*$D$365)</f>
        <v>-21174.44571428571</v>
      </c>
      <c r="M372" s="267">
        <f>-(M371*$D$365)</f>
        <v>-24063.017142857141</v>
      </c>
      <c r="N372" s="44"/>
      <c r="O372" s="34"/>
    </row>
    <row r="373" spans="2:15" s="46" customFormat="1" ht="15" customHeight="1" outlineLevel="1">
      <c r="B373" s="255" t="s">
        <v>177</v>
      </c>
      <c r="C373" s="53"/>
      <c r="D373" s="47"/>
      <c r="E373" s="47"/>
      <c r="F373" s="47"/>
      <c r="G373" s="47"/>
      <c r="H373" s="44"/>
      <c r="I373" s="44">
        <f ca="1">SUM(I370:I372)</f>
        <v>139680.13224655064</v>
      </c>
      <c r="J373" s="44">
        <f ca="1">SUM(J370:J372)</f>
        <v>145587.04947003955</v>
      </c>
      <c r="K373" s="44">
        <f ca="1">SUM(K370:K372)</f>
        <v>149567.91233453213</v>
      </c>
      <c r="L373" s="44">
        <f ca="1">SUM(L370:L372)</f>
        <v>151619.51374495684</v>
      </c>
      <c r="M373" s="44">
        <f ca="1">SUM(M370:M372)</f>
        <v>154060.41652625037</v>
      </c>
      <c r="N373" s="44"/>
      <c r="O373" s="256"/>
    </row>
    <row r="374" spans="2:15" s="46" customFormat="1" ht="15" customHeight="1" outlineLevel="1">
      <c r="B374" s="43"/>
      <c r="C374" s="53"/>
      <c r="D374" s="47"/>
      <c r="E374" s="47"/>
      <c r="F374" s="47"/>
      <c r="G374" s="47"/>
      <c r="H374" s="335"/>
      <c r="I374" s="44"/>
      <c r="J374" s="44"/>
      <c r="K374" s="44"/>
      <c r="L374" s="44"/>
      <c r="M374" s="44"/>
      <c r="N374" s="44"/>
      <c r="O374" s="256"/>
    </row>
    <row r="375" spans="2:15" s="46" customFormat="1" ht="15" customHeight="1" outlineLevel="1">
      <c r="B375" s="343" t="s">
        <v>169</v>
      </c>
      <c r="C375" s="53"/>
      <c r="D375" s="47"/>
      <c r="E375" s="47"/>
      <c r="F375" s="47"/>
      <c r="G375" s="47"/>
      <c r="H375" s="335"/>
      <c r="I375" s="44"/>
      <c r="J375" s="44"/>
      <c r="K375" s="44"/>
      <c r="L375" s="44"/>
      <c r="M375" s="44"/>
      <c r="N375" s="44"/>
      <c r="O375" s="256"/>
    </row>
    <row r="376" spans="2:15" s="46" customFormat="1" ht="15" customHeight="1" outlineLevel="1">
      <c r="B376" s="255" t="s">
        <v>177</v>
      </c>
      <c r="C376" s="53"/>
      <c r="D376" s="47"/>
      <c r="E376" s="47"/>
      <c r="F376" s="47"/>
      <c r="G376" s="47"/>
      <c r="H376" s="44"/>
      <c r="I376" s="44">
        <f ca="1">I373</f>
        <v>139680.13224655064</v>
      </c>
      <c r="J376" s="44">
        <f ca="1">J373</f>
        <v>145587.04947003955</v>
      </c>
      <c r="K376" s="44">
        <f ca="1">K373</f>
        <v>149567.91233453213</v>
      </c>
      <c r="L376" s="44">
        <f ca="1">L373</f>
        <v>151619.51374495684</v>
      </c>
      <c r="M376" s="44">
        <f ca="1">M373</f>
        <v>154060.41652625037</v>
      </c>
      <c r="N376" s="44"/>
      <c r="O376" s="256"/>
    </row>
    <row r="377" spans="2:15" s="46" customFormat="1" ht="15" customHeight="1" outlineLevel="1">
      <c r="B377" s="342" t="s">
        <v>167</v>
      </c>
      <c r="C377" s="53"/>
      <c r="D377" s="47"/>
      <c r="E377" s="47"/>
      <c r="F377" s="47"/>
      <c r="G377" s="47"/>
      <c r="H377" s="335"/>
      <c r="I377" s="267">
        <f ca="1">I383</f>
        <v>0</v>
      </c>
      <c r="J377" s="267">
        <f ca="1">J383</f>
        <v>0</v>
      </c>
      <c r="K377" s="267">
        <f ca="1">K383</f>
        <v>0</v>
      </c>
      <c r="L377" s="267">
        <f ca="1">L383</f>
        <v>0</v>
      </c>
      <c r="M377" s="267">
        <f ca="1">M383</f>
        <v>0</v>
      </c>
      <c r="N377" s="44"/>
      <c r="O377" s="256"/>
    </row>
    <row r="378" spans="2:15" s="46" customFormat="1" ht="15" customHeight="1" outlineLevel="1">
      <c r="B378" s="255" t="s">
        <v>166</v>
      </c>
      <c r="C378" s="53"/>
      <c r="D378" s="47"/>
      <c r="E378" s="47"/>
      <c r="F378" s="47"/>
      <c r="G378" s="47"/>
      <c r="H378" s="335"/>
      <c r="I378" s="44">
        <f ca="1" xml:space="preserve"> MAX(SUM(I376:I377),0)</f>
        <v>139680.13224655064</v>
      </c>
      <c r="J378" s="44">
        <f ca="1" xml:space="preserve"> MAX(SUM(J376:J377),0)</f>
        <v>145587.04947003955</v>
      </c>
      <c r="K378" s="44">
        <f ca="1" xml:space="preserve"> MAX(SUM(K376:K377),0)</f>
        <v>149567.91233453213</v>
      </c>
      <c r="L378" s="44">
        <f ca="1" xml:space="preserve"> MAX(SUM(L376:L377),0)</f>
        <v>151619.51374495684</v>
      </c>
      <c r="M378" s="44">
        <f ca="1" xml:space="preserve"> MAX(SUM(M376:M377),0)</f>
        <v>154060.41652625037</v>
      </c>
      <c r="N378" s="44"/>
      <c r="O378" s="256"/>
    </row>
    <row r="379" spans="2:15" s="46" customFormat="1" ht="15" customHeight="1" outlineLevel="1">
      <c r="B379" s="43"/>
      <c r="C379" s="53"/>
      <c r="D379" s="47"/>
      <c r="E379" s="47"/>
      <c r="F379" s="47"/>
      <c r="G379" s="47"/>
      <c r="H379" s="335"/>
      <c r="I379" s="335"/>
      <c r="J379" s="335"/>
      <c r="K379" s="335"/>
      <c r="L379" s="335"/>
      <c r="M379" s="335"/>
      <c r="N379" s="335"/>
      <c r="O379" s="34"/>
    </row>
    <row r="380" spans="2:15" s="46" customFormat="1" ht="15" customHeight="1" outlineLevel="1">
      <c r="B380" s="343" t="s">
        <v>165</v>
      </c>
      <c r="C380" s="53"/>
      <c r="D380" s="47"/>
      <c r="E380" s="47"/>
      <c r="F380" s="47"/>
      <c r="G380" s="47"/>
      <c r="H380" s="335"/>
      <c r="I380" s="335"/>
      <c r="J380" s="335"/>
      <c r="K380" s="335"/>
      <c r="L380" s="335"/>
      <c r="M380" s="335"/>
      <c r="N380" s="335"/>
      <c r="O380" s="256"/>
    </row>
    <row r="381" spans="2:15" s="46" customFormat="1" ht="15" customHeight="1" outlineLevel="1">
      <c r="B381" s="255" t="s">
        <v>164</v>
      </c>
      <c r="C381" s="53"/>
      <c r="D381" s="47"/>
      <c r="E381" s="47"/>
      <c r="F381" s="47"/>
      <c r="G381" s="47"/>
      <c r="H381" s="335"/>
      <c r="I381" s="44">
        <f>H384</f>
        <v>0</v>
      </c>
      <c r="J381" s="44">
        <f ca="1">I384</f>
        <v>0</v>
      </c>
      <c r="K381" s="44">
        <f ca="1">J384</f>
        <v>0</v>
      </c>
      <c r="L381" s="44">
        <f ca="1">K384</f>
        <v>0</v>
      </c>
      <c r="M381" s="44">
        <f ca="1">L384</f>
        <v>0</v>
      </c>
      <c r="N381" s="44"/>
      <c r="O381" s="256"/>
    </row>
    <row r="382" spans="2:15" s="46" customFormat="1" ht="15" customHeight="1" outlineLevel="1">
      <c r="B382" s="255" t="s">
        <v>163</v>
      </c>
      <c r="C382" s="53"/>
      <c r="D382" s="47"/>
      <c r="E382" s="47"/>
      <c r="F382" s="47"/>
      <c r="G382" s="47"/>
      <c r="H382" s="335"/>
      <c r="I382" s="44">
        <f ca="1">-MIN(I370,0)</f>
        <v>0</v>
      </c>
      <c r="J382" s="44">
        <f ca="1">-MIN(J370,0)</f>
        <v>0</v>
      </c>
      <c r="K382" s="44">
        <f ca="1">-MIN(K370,0)</f>
        <v>0</v>
      </c>
      <c r="L382" s="44">
        <f ca="1">-MIN(L370,0)</f>
        <v>0</v>
      </c>
      <c r="M382" s="44">
        <f ca="1">-MIN(M370,0)</f>
        <v>0</v>
      </c>
      <c r="N382" s="44"/>
      <c r="O382" s="256"/>
    </row>
    <row r="383" spans="2:15" s="46" customFormat="1" ht="15" customHeight="1" outlineLevel="1">
      <c r="B383" s="342" t="s">
        <v>162</v>
      </c>
      <c r="C383" s="53"/>
      <c r="D383" s="47"/>
      <c r="E383" s="47"/>
      <c r="F383" s="47"/>
      <c r="G383" s="47"/>
      <c r="H383" s="341"/>
      <c r="I383" s="267">
        <f ca="1">-MIN(I381,I376)*I362</f>
        <v>0</v>
      </c>
      <c r="J383" s="267">
        <f ca="1">-MIN(J381,J376)*J362</f>
        <v>0</v>
      </c>
      <c r="K383" s="267">
        <f ca="1">-MIN(K381,K376)*K362</f>
        <v>0</v>
      </c>
      <c r="L383" s="267">
        <f ca="1">-MIN(L381,L376)*L362</f>
        <v>0</v>
      </c>
      <c r="M383" s="267">
        <f ca="1">-MIN(M381,M376)*M362</f>
        <v>0</v>
      </c>
      <c r="N383" s="44"/>
      <c r="O383" s="256"/>
    </row>
    <row r="384" spans="2:15" s="46" customFormat="1" ht="15" customHeight="1" outlineLevel="1">
      <c r="B384" s="255" t="s">
        <v>161</v>
      </c>
      <c r="C384" s="53"/>
      <c r="D384" s="47"/>
      <c r="E384" s="47"/>
      <c r="F384" s="47"/>
      <c r="G384" s="47"/>
      <c r="H384" s="358">
        <f>Inputs!$L$110</f>
        <v>0</v>
      </c>
      <c r="I384" s="44">
        <f ca="1">SUM(I381:I383)</f>
        <v>0</v>
      </c>
      <c r="J384" s="44">
        <f ca="1">SUM(J381:J383)</f>
        <v>0</v>
      </c>
      <c r="K384" s="44">
        <f ca="1">SUM(K381:K383)</f>
        <v>0</v>
      </c>
      <c r="L384" s="44">
        <f ca="1">SUM(L381:L383)</f>
        <v>0</v>
      </c>
      <c r="M384" s="44">
        <f ca="1">SUM(M381:M383)</f>
        <v>0</v>
      </c>
      <c r="N384" s="44"/>
      <c r="O384" s="34"/>
    </row>
    <row r="385" spans="1:81" s="46" customFormat="1" ht="15" customHeight="1" outlineLevel="1">
      <c r="B385" s="43"/>
      <c r="C385" s="53"/>
      <c r="D385" s="47"/>
      <c r="E385" s="47"/>
      <c r="F385" s="47"/>
      <c r="G385" s="47"/>
      <c r="H385" s="335"/>
      <c r="I385" s="335"/>
      <c r="J385" s="335"/>
      <c r="K385" s="335"/>
      <c r="L385" s="335"/>
      <c r="M385" s="335"/>
      <c r="N385" s="335"/>
      <c r="O385" s="34"/>
    </row>
    <row r="386" spans="1:81" s="46" customFormat="1" ht="15" customHeight="1" outlineLevel="1">
      <c r="B386" s="340"/>
      <c r="C386" s="339"/>
      <c r="D386" s="338"/>
      <c r="E386" s="338"/>
      <c r="F386" s="338"/>
      <c r="G386" s="338"/>
      <c r="H386" s="133"/>
      <c r="I386" s="133"/>
      <c r="J386" s="133"/>
      <c r="K386" s="133"/>
      <c r="L386" s="133"/>
      <c r="M386" s="133"/>
      <c r="N386" s="174"/>
      <c r="O386" s="34"/>
    </row>
    <row r="387" spans="1:81" s="46" customFormat="1" ht="15" customHeight="1" outlineLevel="1">
      <c r="B387" s="43"/>
      <c r="C387" s="53"/>
      <c r="D387" s="47"/>
      <c r="E387" s="47"/>
      <c r="F387" s="47"/>
      <c r="G387" s="47"/>
      <c r="H387" s="335"/>
      <c r="I387" s="335"/>
      <c r="J387" s="335"/>
      <c r="K387" s="335"/>
      <c r="L387" s="335"/>
      <c r="M387" s="335"/>
      <c r="N387" s="335"/>
      <c r="O387" s="34"/>
    </row>
    <row r="388" spans="1:81" s="46" customFormat="1" ht="15" customHeight="1" outlineLevel="1">
      <c r="B388" s="250" t="s">
        <v>160</v>
      </c>
      <c r="C388" s="53"/>
      <c r="D388" s="47"/>
      <c r="E388" s="47"/>
      <c r="F388" s="47"/>
      <c r="G388" s="47"/>
      <c r="H388" s="335"/>
      <c r="I388" s="335">
        <f ca="1">I378*D364</f>
        <v>25282.103936625666</v>
      </c>
      <c r="J388" s="335"/>
      <c r="K388" s="335"/>
      <c r="L388" s="335"/>
      <c r="M388" s="335"/>
      <c r="N388" s="335"/>
      <c r="O388" s="34"/>
    </row>
    <row r="389" spans="1:81" s="46" customFormat="1" ht="15" customHeight="1" outlineLevel="1">
      <c r="B389" s="255" t="s">
        <v>146</v>
      </c>
      <c r="C389" s="53"/>
      <c r="D389" s="47"/>
      <c r="E389" s="47"/>
      <c r="F389" s="134"/>
      <c r="G389" s="134"/>
      <c r="H389" s="44"/>
      <c r="I389" s="44">
        <f ca="1">$D$364*I378</f>
        <v>25282.103936625666</v>
      </c>
      <c r="J389" s="44">
        <f ca="1">$D$364*J378</f>
        <v>26351.255954077158</v>
      </c>
      <c r="K389" s="44">
        <f ca="1">$D$364*K378</f>
        <v>27071.792132550316</v>
      </c>
      <c r="L389" s="44">
        <f ca="1">$D$364*L378</f>
        <v>27443.131987837187</v>
      </c>
      <c r="M389" s="44">
        <f ca="1">$D$364*M378</f>
        <v>27884.935391251314</v>
      </c>
      <c r="N389" s="44"/>
      <c r="O389" s="34"/>
    </row>
    <row r="390" spans="1:81" s="46" customFormat="1" ht="15" customHeight="1" outlineLevel="1">
      <c r="B390" s="255" t="s">
        <v>159</v>
      </c>
      <c r="C390" s="53"/>
      <c r="D390" s="47"/>
      <c r="E390" s="47"/>
      <c r="F390" s="47"/>
      <c r="G390" s="47"/>
      <c r="H390" s="335"/>
      <c r="I390" s="44">
        <f ca="1">I391-I389</f>
        <v>398.29101714285571</v>
      </c>
      <c r="J390" s="44">
        <f ca="1">J391-J389</f>
        <v>475.08673142857151</v>
      </c>
      <c r="K390" s="44">
        <f ca="1">K391-K389</f>
        <v>555.24387428571572</v>
      </c>
      <c r="L390" s="44">
        <f ca="1">L391-L389</f>
        <v>638.76244571428469</v>
      </c>
      <c r="M390" s="44">
        <f ca="1">M391-M389</f>
        <v>725.90101714285629</v>
      </c>
      <c r="N390" s="44"/>
      <c r="O390" s="34"/>
    </row>
    <row r="391" spans="1:81" ht="15" customHeight="1" outlineLevel="1" thickBot="1">
      <c r="A391" s="46"/>
      <c r="B391" s="255" t="s">
        <v>158</v>
      </c>
      <c r="C391" s="53"/>
      <c r="D391" s="47"/>
      <c r="E391" s="47"/>
      <c r="F391" s="47"/>
      <c r="G391" s="47"/>
      <c r="H391" s="335"/>
      <c r="I391" s="327">
        <f ca="1">MAX($D$364*I370,0)</f>
        <v>25680.394953768522</v>
      </c>
      <c r="J391" s="327">
        <f ca="1">MAX($D$364*J370,0)</f>
        <v>26826.34268550573</v>
      </c>
      <c r="K391" s="327">
        <f ca="1">MAX($D$364*K370,0)</f>
        <v>27627.036006836031</v>
      </c>
      <c r="L391" s="327">
        <f ca="1">MAX($D$364*L370,0)</f>
        <v>28081.894433551472</v>
      </c>
      <c r="M391" s="327">
        <f ca="1">MAX($D$364*M370,0)</f>
        <v>28610.836408394171</v>
      </c>
      <c r="N391" s="44"/>
      <c r="O391" s="34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</row>
    <row r="392" spans="1:81" ht="15" customHeight="1" outlineLevel="1">
      <c r="A392" s="46"/>
      <c r="B392" s="43"/>
      <c r="C392" s="53"/>
      <c r="D392" s="47"/>
      <c r="E392" s="47"/>
      <c r="F392" s="47"/>
      <c r="G392" s="47"/>
      <c r="H392" s="47"/>
      <c r="I392" s="49"/>
      <c r="J392" s="49"/>
      <c r="K392" s="49"/>
      <c r="L392" s="49"/>
      <c r="M392" s="49"/>
      <c r="N392" s="46"/>
      <c r="O392" s="25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</row>
    <row r="393" spans="1:81" ht="15" customHeight="1" outlineLevel="1">
      <c r="A393" s="37"/>
      <c r="B393" s="357"/>
      <c r="C393" s="357"/>
      <c r="D393" s="112"/>
      <c r="E393" s="112"/>
      <c r="F393" s="256"/>
      <c r="G393" s="256"/>
      <c r="H393" s="256"/>
      <c r="I393" s="356"/>
      <c r="J393" s="356"/>
      <c r="K393" s="356"/>
      <c r="L393" s="356"/>
      <c r="M393" s="355"/>
      <c r="N393" s="355"/>
      <c r="O393" s="25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</row>
    <row r="394" spans="1:81" ht="15" customHeight="1" outlineLevel="1">
      <c r="A394" s="46"/>
      <c r="B394" s="46"/>
      <c r="C394" s="53"/>
      <c r="D394" s="47"/>
      <c r="E394" s="47"/>
      <c r="F394" s="47"/>
      <c r="G394" s="47"/>
      <c r="H394" s="47"/>
      <c r="I394" s="49"/>
      <c r="J394" s="49"/>
      <c r="K394" s="49"/>
      <c r="L394" s="49"/>
      <c r="M394" s="30" t="s">
        <v>157</v>
      </c>
      <c r="N394" s="46"/>
      <c r="O394" s="34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</row>
    <row r="395" spans="1:81" ht="15" customHeight="1" outlineLevel="1">
      <c r="A395" s="46"/>
      <c r="B395" s="46"/>
      <c r="C395" s="53"/>
      <c r="D395" s="47"/>
      <c r="E395" s="47"/>
      <c r="F395" s="47"/>
      <c r="G395" s="47"/>
      <c r="H395" s="47"/>
      <c r="I395" s="49"/>
      <c r="J395" s="49"/>
      <c r="K395" s="49"/>
      <c r="L395" s="49"/>
      <c r="M395" s="238" t="s">
        <v>156</v>
      </c>
      <c r="N395" s="46"/>
      <c r="O395" s="27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</row>
    <row r="396" spans="1:81" ht="15" customHeight="1" outlineLevel="1">
      <c r="A396" s="46"/>
      <c r="B396" s="46"/>
      <c r="C396" s="53"/>
      <c r="D396" s="47"/>
      <c r="E396" s="47"/>
      <c r="F396" s="47"/>
      <c r="G396" s="47"/>
      <c r="H396" s="47"/>
      <c r="I396" s="49"/>
      <c r="J396" s="49"/>
      <c r="K396" s="49"/>
      <c r="L396" s="49"/>
      <c r="M396" s="337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</row>
    <row r="397" spans="1:81" ht="15" customHeight="1" outlineLevel="1">
      <c r="A397" s="46"/>
      <c r="B397" s="237"/>
      <c r="C397" s="122"/>
      <c r="D397" s="236"/>
      <c r="E397" s="236"/>
      <c r="F397" s="236"/>
      <c r="G397" s="236"/>
      <c r="H397" s="236"/>
      <c r="I397" s="235"/>
      <c r="J397" s="235"/>
      <c r="K397" s="235"/>
      <c r="L397" s="235"/>
      <c r="M397" s="235"/>
      <c r="N397" s="235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</row>
    <row r="398" spans="1:81" ht="15" customHeight="1">
      <c r="A398" s="46"/>
      <c r="B398" s="43"/>
      <c r="C398" s="53"/>
      <c r="D398" s="47"/>
      <c r="E398" s="47"/>
      <c r="F398" s="47"/>
      <c r="G398" s="47"/>
      <c r="H398" s="47"/>
      <c r="I398" s="49"/>
      <c r="J398" s="49"/>
      <c r="K398" s="49"/>
      <c r="L398" s="49"/>
      <c r="M398" s="49"/>
      <c r="N398" s="49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</row>
    <row r="399" spans="1:81" ht="15" customHeight="1">
      <c r="A399" s="46" t="s">
        <v>0</v>
      </c>
      <c r="B399" s="57" t="s">
        <v>176</v>
      </c>
      <c r="C399" s="56"/>
      <c r="D399" s="55"/>
      <c r="E399" s="55"/>
      <c r="F399" s="54"/>
      <c r="G399" s="54"/>
      <c r="H399" s="54"/>
      <c r="I399" s="54"/>
      <c r="J399" s="54"/>
      <c r="K399" s="54"/>
      <c r="L399" s="54"/>
      <c r="M399" s="54"/>
      <c r="N399" s="302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</row>
    <row r="400" spans="1:81" ht="15" customHeight="1" outlineLevel="1">
      <c r="A400" s="46"/>
      <c r="B400" s="183"/>
      <c r="C400" s="53"/>
      <c r="D400" s="52"/>
      <c r="E400" s="52"/>
      <c r="F400" s="51"/>
      <c r="G400" s="51"/>
      <c r="H400" s="51"/>
      <c r="I400" s="51"/>
      <c r="J400" s="51"/>
      <c r="K400" s="51"/>
      <c r="L400" s="51"/>
      <c r="M400" s="51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</row>
    <row r="401" spans="1:81" ht="15" customHeight="1" outlineLevel="1" thickBot="1">
      <c r="A401" s="46"/>
      <c r="B401" s="43" t="s">
        <v>20</v>
      </c>
      <c r="C401" s="53"/>
      <c r="D401" s="47"/>
      <c r="E401" s="47"/>
      <c r="F401" s="47"/>
      <c r="G401" s="47"/>
      <c r="H401" s="354">
        <f t="shared" ref="H401:M401" si="132">H$141</f>
        <v>2025</v>
      </c>
      <c r="I401" s="234">
        <f t="shared" si="132"/>
        <v>2026</v>
      </c>
      <c r="J401" s="234">
        <f t="shared" si="132"/>
        <v>2027</v>
      </c>
      <c r="K401" s="234">
        <f t="shared" si="132"/>
        <v>2028</v>
      </c>
      <c r="L401" s="234">
        <f t="shared" si="132"/>
        <v>2029</v>
      </c>
      <c r="M401" s="234">
        <f t="shared" si="132"/>
        <v>2030</v>
      </c>
      <c r="N401" s="49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</row>
    <row r="402" spans="1:81" ht="15" customHeight="1" outlineLevel="1">
      <c r="A402" s="37"/>
      <c r="B402" s="43" t="str">
        <f>$B$142</f>
        <v>Model Running: Base Case Drivers</v>
      </c>
      <c r="C402" s="53"/>
      <c r="D402" s="47"/>
      <c r="E402" s="47"/>
      <c r="F402" s="47"/>
      <c r="G402" s="47"/>
      <c r="H402" s="47"/>
      <c r="I402" s="49"/>
      <c r="J402" s="49"/>
      <c r="K402" s="49"/>
      <c r="L402" s="49"/>
      <c r="M402" s="49"/>
      <c r="N402" s="49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</row>
    <row r="403" spans="1:81" ht="15" customHeight="1" outlineLevel="1">
      <c r="A403" s="46"/>
      <c r="B403" s="43"/>
      <c r="C403" s="53"/>
      <c r="D403" s="47"/>
      <c r="E403" s="47"/>
      <c r="F403" s="47"/>
      <c r="G403" s="47"/>
      <c r="H403" s="47"/>
      <c r="I403" s="49"/>
      <c r="J403" s="49"/>
      <c r="K403" s="49"/>
      <c r="L403" s="49"/>
      <c r="M403" s="49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</row>
    <row r="404" spans="1:81" s="46" customFormat="1" ht="15" customHeight="1" outlineLevel="1">
      <c r="B404" s="155" t="s">
        <v>175</v>
      </c>
      <c r="C404" s="53"/>
      <c r="D404" s="47"/>
      <c r="E404" s="47"/>
      <c r="F404" s="134"/>
      <c r="G404" s="134"/>
      <c r="H404" s="44"/>
      <c r="I404" s="353">
        <f>I23</f>
        <v>143983.77020615191</v>
      </c>
      <c r="J404" s="282">
        <f>J23</f>
        <v>149564.77165594409</v>
      </c>
      <c r="K404" s="282">
        <f>K23</f>
        <v>152928.61775754587</v>
      </c>
      <c r="L404" s="282">
        <f>L23</f>
        <v>154186.85407349237</v>
      </c>
      <c r="M404" s="247">
        <f>M23</f>
        <v>155671.64258592483</v>
      </c>
      <c r="N404" s="44"/>
    </row>
    <row r="405" spans="1:81" s="46" customFormat="1" ht="15" customHeight="1" outlineLevel="1">
      <c r="B405" s="155" t="s">
        <v>174</v>
      </c>
      <c r="C405" s="53"/>
      <c r="D405" s="47"/>
      <c r="E405" s="47"/>
      <c r="F405" s="47"/>
      <c r="G405" s="47"/>
      <c r="H405" s="47"/>
      <c r="I405" s="352">
        <f>IF(I415&gt;0,1,0)</f>
        <v>1</v>
      </c>
      <c r="J405" s="351">
        <f>IF(J415&gt;0,1,0)</f>
        <v>1</v>
      </c>
      <c r="K405" s="351">
        <f>IF(K415&gt;0,1,0)</f>
        <v>1</v>
      </c>
      <c r="L405" s="351">
        <f>IF(L415&gt;0,1,0)</f>
        <v>1</v>
      </c>
      <c r="M405" s="350">
        <f>IF(M415&gt;0,1,0)</f>
        <v>1</v>
      </c>
      <c r="N405" s="349"/>
    </row>
    <row r="406" spans="1:81" s="46" customFormat="1" ht="15" customHeight="1" outlineLevel="1">
      <c r="B406" s="43"/>
      <c r="C406" s="53"/>
      <c r="D406" s="47"/>
      <c r="E406" s="47"/>
      <c r="F406" s="47"/>
      <c r="G406" s="47"/>
      <c r="H406" s="47"/>
      <c r="I406" s="49"/>
      <c r="J406" s="49"/>
      <c r="K406" s="49"/>
      <c r="L406" s="49"/>
      <c r="M406" s="49"/>
    </row>
    <row r="407" spans="1:81" s="46" customFormat="1" ht="15" customHeight="1" outlineLevel="1">
      <c r="B407" s="334" t="s">
        <v>64</v>
      </c>
      <c r="C407" s="348"/>
      <c r="D407" s="347">
        <f>$C$11</f>
        <v>0.18099999999999999</v>
      </c>
      <c r="E407" s="47"/>
      <c r="F407" s="47"/>
      <c r="G407" s="47"/>
      <c r="H407" s="47"/>
      <c r="I407" s="49"/>
      <c r="J407" s="49"/>
      <c r="K407" s="49"/>
      <c r="L407" s="49"/>
      <c r="M407" s="49"/>
    </row>
    <row r="408" spans="1:81" s="46" customFormat="1" ht="15" customHeight="1" outlineLevel="1">
      <c r="B408" s="346" t="s">
        <v>173</v>
      </c>
      <c r="C408" s="122"/>
      <c r="D408" s="345">
        <f>IF(M426=0,0,1)</f>
        <v>0</v>
      </c>
      <c r="E408" s="47"/>
      <c r="F408" s="44"/>
      <c r="G408" s="44"/>
      <c r="H408" s="44"/>
      <c r="I408" s="44"/>
      <c r="J408" s="44"/>
      <c r="K408" s="44"/>
      <c r="L408" s="44"/>
      <c r="M408" s="27"/>
      <c r="N408" s="27"/>
    </row>
    <row r="409" spans="1:81" s="46" customFormat="1" ht="15" customHeight="1" outlineLevel="1">
      <c r="B409" s="43"/>
      <c r="C409" s="53"/>
      <c r="D409" s="344"/>
      <c r="E409" s="47"/>
      <c r="F409" s="47"/>
      <c r="G409" s="47"/>
      <c r="H409" s="47"/>
      <c r="I409" s="49"/>
      <c r="J409" s="49"/>
      <c r="K409" s="49"/>
      <c r="L409" s="49"/>
      <c r="M409" s="49"/>
    </row>
    <row r="410" spans="1:81" s="46" customFormat="1" ht="15" customHeight="1" outlineLevel="1">
      <c r="B410" s="43"/>
      <c r="C410" s="53"/>
      <c r="D410" s="344"/>
      <c r="E410" s="47"/>
      <c r="F410" s="47"/>
      <c r="G410" s="47"/>
      <c r="H410" s="47"/>
      <c r="I410" s="49"/>
      <c r="J410" s="49"/>
      <c r="K410" s="49"/>
      <c r="L410" s="49"/>
      <c r="M410" s="49"/>
    </row>
    <row r="411" spans="1:81" s="46" customFormat="1" ht="15" customHeight="1" outlineLevel="1">
      <c r="B411" s="250" t="s">
        <v>172</v>
      </c>
      <c r="C411" s="53"/>
      <c r="D411" s="47"/>
      <c r="E411" s="47"/>
      <c r="F411" s="47"/>
      <c r="G411" s="47"/>
      <c r="H411" s="335"/>
      <c r="I411" s="335"/>
      <c r="J411" s="335"/>
      <c r="K411" s="335"/>
      <c r="L411" s="335"/>
      <c r="M411" s="335"/>
    </row>
    <row r="412" spans="1:81" s="46" customFormat="1" ht="15" customHeight="1" outlineLevel="1">
      <c r="B412" s="255" t="s">
        <v>151</v>
      </c>
      <c r="C412" s="53"/>
      <c r="D412" s="47"/>
      <c r="E412" s="47"/>
      <c r="F412" s="134"/>
      <c r="G412" s="134"/>
      <c r="H412" s="44"/>
      <c r="I412" s="44">
        <f>I404</f>
        <v>143983.77020615191</v>
      </c>
      <c r="J412" s="44">
        <f>J404</f>
        <v>149564.77165594409</v>
      </c>
      <c r="K412" s="44">
        <f>K404</f>
        <v>152928.61775754587</v>
      </c>
      <c r="L412" s="44">
        <f>L404</f>
        <v>154186.85407349237</v>
      </c>
      <c r="M412" s="44">
        <f>M404</f>
        <v>155671.64258592483</v>
      </c>
      <c r="N412" s="44"/>
      <c r="O412" s="27"/>
      <c r="P412" s="27"/>
    </row>
    <row r="413" spans="1:81" s="46" customFormat="1" ht="15" customHeight="1" outlineLevel="1">
      <c r="B413" s="255" t="s">
        <v>171</v>
      </c>
      <c r="C413" s="53"/>
      <c r="D413" s="47"/>
      <c r="E413" s="47"/>
      <c r="F413" s="47"/>
      <c r="G413" s="47"/>
      <c r="H413" s="335"/>
      <c r="I413" s="44">
        <f>-I$341</f>
        <v>11002.514285714286</v>
      </c>
      <c r="J413" s="44">
        <f>-J$341</f>
        <v>13123.942857142856</v>
      </c>
      <c r="K413" s="44">
        <f>-K$341</f>
        <v>15338.228571428572</v>
      </c>
      <c r="L413" s="44">
        <f>-L$341</f>
        <v>17645.371428571427</v>
      </c>
      <c r="M413" s="44">
        <f>-M$341</f>
        <v>20052.514285714286</v>
      </c>
      <c r="N413" s="44"/>
      <c r="O413" s="27"/>
      <c r="P413" s="27"/>
    </row>
    <row r="414" spans="1:81" s="46" customFormat="1" ht="15" customHeight="1" outlineLevel="1">
      <c r="B414" s="255" t="s">
        <v>170</v>
      </c>
      <c r="C414" s="53"/>
      <c r="D414" s="47"/>
      <c r="E414" s="47"/>
      <c r="F414" s="47"/>
      <c r="G414" s="47"/>
      <c r="H414" s="335"/>
      <c r="I414" s="267">
        <f>-(I413*$D$365)</f>
        <v>-13203.017142857143</v>
      </c>
      <c r="J414" s="267">
        <f>-(J413*$D$365)</f>
        <v>-15748.731428571427</v>
      </c>
      <c r="K414" s="267">
        <f>-(K413*$D$365)</f>
        <v>-18405.874285714286</v>
      </c>
      <c r="L414" s="267">
        <f>-(L413*$D$365)</f>
        <v>-21174.44571428571</v>
      </c>
      <c r="M414" s="267">
        <f>-(M413*$D$365)</f>
        <v>-24063.017142857141</v>
      </c>
      <c r="N414" s="44"/>
      <c r="O414" s="27"/>
      <c r="P414" s="27"/>
    </row>
    <row r="415" spans="1:81" s="46" customFormat="1" ht="15" customHeight="1" outlineLevel="1">
      <c r="B415" s="255" t="s">
        <v>168</v>
      </c>
      <c r="C415" s="53"/>
      <c r="D415" s="47"/>
      <c r="E415" s="47"/>
      <c r="F415" s="134"/>
      <c r="G415" s="134"/>
      <c r="H415" s="44"/>
      <c r="I415" s="44">
        <f>SUM(I412:I414)</f>
        <v>141783.26734900905</v>
      </c>
      <c r="J415" s="44">
        <f>SUM(J412:J414)</f>
        <v>146939.98308451552</v>
      </c>
      <c r="K415" s="44">
        <f>SUM(K412:K414)</f>
        <v>149860.97204326015</v>
      </c>
      <c r="L415" s="44">
        <f>SUM(L412:L414)</f>
        <v>150657.7797877781</v>
      </c>
      <c r="M415" s="44">
        <f>SUM(M412:M414)</f>
        <v>151661.13972878197</v>
      </c>
      <c r="N415" s="44"/>
    </row>
    <row r="416" spans="1:81" s="46" customFormat="1" ht="15" customHeight="1" outlineLevel="1">
      <c r="B416" s="43"/>
      <c r="C416" s="53"/>
      <c r="D416" s="47"/>
      <c r="E416" s="47"/>
      <c r="F416" s="47"/>
      <c r="G416" s="47"/>
      <c r="H416" s="335"/>
      <c r="I416" s="44"/>
      <c r="J416" s="44"/>
      <c r="K416" s="44"/>
      <c r="L416" s="44"/>
      <c r="M416" s="44"/>
      <c r="N416" s="44"/>
    </row>
    <row r="417" spans="2:16" s="46" customFormat="1" ht="15" customHeight="1" outlineLevel="1">
      <c r="B417" s="343" t="s">
        <v>169</v>
      </c>
      <c r="C417" s="53"/>
      <c r="D417" s="47"/>
      <c r="E417" s="47"/>
      <c r="F417" s="47"/>
      <c r="G417" s="47"/>
      <c r="H417" s="335"/>
      <c r="I417" s="44"/>
      <c r="J417" s="44"/>
      <c r="K417" s="44"/>
      <c r="L417" s="44"/>
      <c r="M417" s="44"/>
      <c r="N417" s="44"/>
    </row>
    <row r="418" spans="2:16" s="46" customFormat="1" ht="15" customHeight="1" outlineLevel="1">
      <c r="B418" s="255" t="s">
        <v>168</v>
      </c>
      <c r="C418" s="53"/>
      <c r="D418" s="47"/>
      <c r="E418" s="47"/>
      <c r="F418" s="134"/>
      <c r="G418" s="134"/>
      <c r="H418" s="44"/>
      <c r="I418" s="44">
        <f>I415</f>
        <v>141783.26734900905</v>
      </c>
      <c r="J418" s="44">
        <f>J415</f>
        <v>146939.98308451552</v>
      </c>
      <c r="K418" s="44">
        <f>K415</f>
        <v>149860.97204326015</v>
      </c>
      <c r="L418" s="44">
        <f>L415</f>
        <v>150657.7797877781</v>
      </c>
      <c r="M418" s="44">
        <f>M415</f>
        <v>151661.13972878197</v>
      </c>
      <c r="N418" s="44"/>
    </row>
    <row r="419" spans="2:16" s="46" customFormat="1" ht="15" customHeight="1" outlineLevel="1">
      <c r="B419" s="342" t="s">
        <v>167</v>
      </c>
      <c r="C419" s="53"/>
      <c r="D419" s="47"/>
      <c r="E419" s="47"/>
      <c r="F419" s="47"/>
      <c r="G419" s="47"/>
      <c r="H419" s="335"/>
      <c r="I419" s="267">
        <f>I425</f>
        <v>0</v>
      </c>
      <c r="J419" s="267">
        <f>J425</f>
        <v>0</v>
      </c>
      <c r="K419" s="267">
        <f>K425</f>
        <v>0</v>
      </c>
      <c r="L419" s="267">
        <f>L425</f>
        <v>0</v>
      </c>
      <c r="M419" s="267">
        <f>M425</f>
        <v>0</v>
      </c>
      <c r="N419" s="44"/>
    </row>
    <row r="420" spans="2:16" s="46" customFormat="1" ht="15" customHeight="1" outlineLevel="1">
      <c r="B420" s="255" t="s">
        <v>166</v>
      </c>
      <c r="C420" s="53"/>
      <c r="D420" s="47"/>
      <c r="E420" s="47"/>
      <c r="F420" s="47"/>
      <c r="G420" s="47"/>
      <c r="H420" s="335"/>
      <c r="I420" s="44">
        <f xml:space="preserve"> MAX(SUM(I418:I419),0)</f>
        <v>141783.26734900905</v>
      </c>
      <c r="J420" s="44">
        <f xml:space="preserve"> MAX(SUM(J418:J419),0)</f>
        <v>146939.98308451552</v>
      </c>
      <c r="K420" s="44">
        <f xml:space="preserve"> MAX(SUM(K418:K419),0)</f>
        <v>149860.97204326015</v>
      </c>
      <c r="L420" s="44">
        <f xml:space="preserve"> MAX(SUM(L418:L419),0)</f>
        <v>150657.7797877781</v>
      </c>
      <c r="M420" s="44">
        <f xml:space="preserve"> MAX(SUM(M418:M419),0)</f>
        <v>151661.13972878197</v>
      </c>
      <c r="N420" s="44"/>
    </row>
    <row r="421" spans="2:16" s="46" customFormat="1" ht="15" customHeight="1" outlineLevel="1">
      <c r="B421" s="43"/>
      <c r="C421" s="53"/>
      <c r="D421" s="47"/>
      <c r="E421" s="47"/>
      <c r="F421" s="47"/>
      <c r="G421" s="47"/>
      <c r="H421" s="335"/>
      <c r="I421" s="335"/>
      <c r="J421" s="335"/>
      <c r="K421" s="335"/>
      <c r="L421" s="335"/>
      <c r="M421" s="335"/>
      <c r="N421" s="335"/>
    </row>
    <row r="422" spans="2:16" s="46" customFormat="1" ht="15" customHeight="1" outlineLevel="1">
      <c r="B422" s="250" t="s">
        <v>165</v>
      </c>
      <c r="C422" s="53"/>
      <c r="D422" s="47"/>
      <c r="E422" s="47"/>
      <c r="F422" s="47"/>
      <c r="G422" s="47"/>
      <c r="H422" s="335"/>
      <c r="I422" s="335"/>
      <c r="J422" s="335"/>
      <c r="K422" s="335"/>
      <c r="L422" s="335"/>
      <c r="M422" s="335"/>
      <c r="N422" s="335"/>
    </row>
    <row r="423" spans="2:16" s="46" customFormat="1" ht="15" customHeight="1" outlineLevel="1">
      <c r="B423" s="255" t="s">
        <v>164</v>
      </c>
      <c r="C423" s="53"/>
      <c r="D423" s="47"/>
      <c r="E423" s="47"/>
      <c r="F423" s="47"/>
      <c r="G423" s="47"/>
      <c r="H423" s="335"/>
      <c r="I423" s="44">
        <f>H426</f>
        <v>0</v>
      </c>
      <c r="J423" s="44">
        <f>I426</f>
        <v>0</v>
      </c>
      <c r="K423" s="44">
        <f>J426</f>
        <v>0</v>
      </c>
      <c r="L423" s="44">
        <f>K426</f>
        <v>0</v>
      </c>
      <c r="M423" s="44">
        <f>L426</f>
        <v>0</v>
      </c>
      <c r="N423" s="44"/>
      <c r="O423" s="27"/>
      <c r="P423" s="27"/>
    </row>
    <row r="424" spans="2:16" s="46" customFormat="1" ht="15" customHeight="1" outlineLevel="1">
      <c r="B424" s="255" t="s">
        <v>163</v>
      </c>
      <c r="C424" s="53"/>
      <c r="D424" s="47"/>
      <c r="E424" s="47"/>
      <c r="F424" s="47"/>
      <c r="G424" s="47"/>
      <c r="H424" s="335"/>
      <c r="I424" s="44">
        <f>-MIN(I412,0)</f>
        <v>0</v>
      </c>
      <c r="J424" s="44">
        <f>-MIN(J412,0)</f>
        <v>0</v>
      </c>
      <c r="K424" s="44">
        <f>-MIN(K412,0)</f>
        <v>0</v>
      </c>
      <c r="L424" s="44">
        <f>-MIN(L412,0)</f>
        <v>0</v>
      </c>
      <c r="M424" s="44">
        <f>-MIN(M412,0)</f>
        <v>0</v>
      </c>
      <c r="N424" s="44"/>
      <c r="O424" s="27"/>
      <c r="P424" s="27"/>
    </row>
    <row r="425" spans="2:16" s="46" customFormat="1" ht="15" customHeight="1" outlineLevel="1">
      <c r="B425" s="255" t="s">
        <v>162</v>
      </c>
      <c r="C425" s="53"/>
      <c r="D425" s="47"/>
      <c r="E425" s="47"/>
      <c r="F425" s="47"/>
      <c r="G425" s="47"/>
      <c r="H425" s="341"/>
      <c r="I425" s="267">
        <f>-MIN(I423,I418)*I405</f>
        <v>0</v>
      </c>
      <c r="J425" s="267">
        <f>-MIN(J423,J418)*J405</f>
        <v>0</v>
      </c>
      <c r="K425" s="267">
        <f>-MIN(K423,K418)*K405</f>
        <v>0</v>
      </c>
      <c r="L425" s="267">
        <f>-MIN(L423,L418)*L405</f>
        <v>0</v>
      </c>
      <c r="M425" s="267">
        <f>-MIN(M423,M418)*M405</f>
        <v>0</v>
      </c>
      <c r="N425" s="44"/>
      <c r="O425" s="27"/>
      <c r="P425" s="27"/>
    </row>
    <row r="426" spans="2:16" s="46" customFormat="1" ht="15" customHeight="1" outlineLevel="1">
      <c r="B426" s="255" t="s">
        <v>161</v>
      </c>
      <c r="C426" s="53"/>
      <c r="D426" s="47"/>
      <c r="E426" s="47"/>
      <c r="F426" s="47"/>
      <c r="G426" s="47"/>
      <c r="H426" s="44">
        <f>H384</f>
        <v>0</v>
      </c>
      <c r="I426" s="44">
        <f>SUM(I423:I425)</f>
        <v>0</v>
      </c>
      <c r="J426" s="44">
        <f>SUM(J423:J425)</f>
        <v>0</v>
      </c>
      <c r="K426" s="44">
        <f>SUM(K423:K425)</f>
        <v>0</v>
      </c>
      <c r="L426" s="44">
        <f>SUM(L423:L425)</f>
        <v>0</v>
      </c>
      <c r="M426" s="44">
        <f>SUM(M423:M425)</f>
        <v>0</v>
      </c>
      <c r="N426" s="44"/>
      <c r="O426" s="27"/>
      <c r="P426" s="27"/>
    </row>
    <row r="427" spans="2:16" s="46" customFormat="1" ht="15" customHeight="1" outlineLevel="1">
      <c r="B427" s="43"/>
      <c r="C427" s="53"/>
      <c r="D427" s="47"/>
      <c r="E427" s="47"/>
      <c r="F427" s="47"/>
      <c r="G427" s="47"/>
      <c r="H427" s="335"/>
      <c r="I427" s="335"/>
      <c r="J427" s="335"/>
      <c r="K427" s="335"/>
      <c r="L427" s="335"/>
      <c r="M427" s="335"/>
      <c r="N427" s="335"/>
      <c r="O427" s="27"/>
      <c r="P427" s="27"/>
    </row>
    <row r="428" spans="2:16" s="46" customFormat="1" ht="15" customHeight="1" outlineLevel="1">
      <c r="B428" s="340"/>
      <c r="C428" s="339"/>
      <c r="D428" s="338"/>
      <c r="E428" s="338"/>
      <c r="F428" s="338"/>
      <c r="G428" s="338"/>
      <c r="H428" s="133"/>
      <c r="I428" s="133"/>
      <c r="J428" s="133"/>
      <c r="K428" s="133"/>
      <c r="L428" s="133"/>
      <c r="M428" s="133"/>
      <c r="N428" s="174"/>
      <c r="O428" s="27"/>
      <c r="P428" s="27"/>
    </row>
    <row r="429" spans="2:16" s="46" customFormat="1" ht="15" customHeight="1" outlineLevel="1">
      <c r="B429" s="43"/>
      <c r="C429" s="53"/>
      <c r="D429" s="47"/>
      <c r="E429" s="47"/>
      <c r="F429" s="47"/>
      <c r="G429" s="47"/>
      <c r="H429" s="335"/>
      <c r="I429" s="335"/>
      <c r="J429" s="335"/>
      <c r="K429" s="335"/>
      <c r="L429" s="335"/>
      <c r="M429" s="335"/>
      <c r="N429" s="335"/>
      <c r="O429" s="34"/>
    </row>
    <row r="430" spans="2:16" s="46" customFormat="1" ht="15" customHeight="1" outlineLevel="1">
      <c r="B430" s="250" t="s">
        <v>160</v>
      </c>
      <c r="C430" s="53"/>
      <c r="D430" s="47"/>
      <c r="E430" s="47"/>
      <c r="F430" s="47"/>
      <c r="G430" s="47"/>
      <c r="H430" s="335"/>
      <c r="I430" s="335"/>
      <c r="J430" s="335"/>
      <c r="K430" s="335"/>
      <c r="L430" s="335"/>
      <c r="M430" s="335"/>
      <c r="N430" s="335"/>
      <c r="O430" s="34"/>
    </row>
    <row r="431" spans="2:16" s="46" customFormat="1" ht="15" customHeight="1" outlineLevel="1">
      <c r="B431" s="255" t="s">
        <v>146</v>
      </c>
      <c r="C431" s="53"/>
      <c r="D431" s="47"/>
      <c r="E431" s="47"/>
      <c r="F431" s="134"/>
      <c r="G431" s="134"/>
      <c r="H431" s="44"/>
      <c r="I431" s="44">
        <f>$D$407*I420</f>
        <v>25662.771390170637</v>
      </c>
      <c r="J431" s="44">
        <f>$D$407*J420</f>
        <v>26596.13693829731</v>
      </c>
      <c r="K431" s="44">
        <f>$D$407*K420</f>
        <v>27124.835939830085</v>
      </c>
      <c r="L431" s="44">
        <f>$D$407*L420</f>
        <v>27269.058141587833</v>
      </c>
      <c r="M431" s="44">
        <f>$D$407*M420</f>
        <v>27450.666290909536</v>
      </c>
      <c r="N431" s="44"/>
      <c r="O431" s="27"/>
      <c r="P431" s="27"/>
    </row>
    <row r="432" spans="2:16" s="46" customFormat="1" ht="15" customHeight="1" outlineLevel="1">
      <c r="B432" s="255" t="s">
        <v>159</v>
      </c>
      <c r="C432" s="53"/>
      <c r="D432" s="47"/>
      <c r="E432" s="47"/>
      <c r="F432" s="47"/>
      <c r="G432" s="47"/>
      <c r="H432" s="335"/>
      <c r="I432" s="44">
        <f>I433-I431</f>
        <v>398.29101714285571</v>
      </c>
      <c r="J432" s="44">
        <f>J433-J431</f>
        <v>475.08673142856787</v>
      </c>
      <c r="K432" s="44">
        <f>K433-K431</f>
        <v>555.24387428571572</v>
      </c>
      <c r="L432" s="44">
        <f>L433-L431</f>
        <v>638.76244571428469</v>
      </c>
      <c r="M432" s="44">
        <f>M433-M431</f>
        <v>725.90101714285629</v>
      </c>
      <c r="N432" s="44"/>
      <c r="O432" s="34"/>
      <c r="P432" s="37"/>
    </row>
    <row r="433" spans="1:81" s="46" customFormat="1" ht="15" customHeight="1" outlineLevel="1" thickBot="1">
      <c r="B433" s="255" t="s">
        <v>158</v>
      </c>
      <c r="C433" s="53"/>
      <c r="D433" s="47"/>
      <c r="E433" s="47"/>
      <c r="F433" s="47"/>
      <c r="G433" s="47"/>
      <c r="H433" s="335"/>
      <c r="I433" s="327">
        <f>MAX($D$407*I412,0)</f>
        <v>26061.062407313493</v>
      </c>
      <c r="J433" s="327">
        <f>MAX($D$407*J412,0)</f>
        <v>27071.223669725878</v>
      </c>
      <c r="K433" s="327">
        <f>MAX($D$407*K412,0)</f>
        <v>27680.079814115801</v>
      </c>
      <c r="L433" s="327">
        <f>MAX($D$407*L412,0)</f>
        <v>27907.820587302118</v>
      </c>
      <c r="M433" s="327">
        <f>MAX($D$407*M412,0)</f>
        <v>28176.567308052392</v>
      </c>
      <c r="N433" s="44"/>
    </row>
    <row r="434" spans="1:81" s="46" customFormat="1" ht="15" customHeight="1" outlineLevel="1">
      <c r="B434" s="43"/>
      <c r="C434" s="53"/>
      <c r="D434" s="47"/>
      <c r="E434" s="47"/>
      <c r="F434" s="47"/>
      <c r="G434" s="47"/>
      <c r="H434" s="47"/>
      <c r="I434" s="49"/>
      <c r="J434" s="49"/>
      <c r="K434" s="49"/>
      <c r="L434" s="49"/>
      <c r="M434" s="49"/>
    </row>
    <row r="435" spans="1:81" s="46" customFormat="1" ht="15" customHeight="1" outlineLevel="1">
      <c r="B435" s="43"/>
      <c r="C435" s="53"/>
      <c r="D435" s="47"/>
      <c r="E435" s="47"/>
      <c r="F435" s="47"/>
      <c r="G435" s="47"/>
      <c r="H435" s="47"/>
      <c r="I435" s="49"/>
      <c r="J435" s="49"/>
      <c r="K435" s="49"/>
      <c r="L435" s="49"/>
      <c r="M435" s="49"/>
      <c r="O435" s="276"/>
    </row>
    <row r="436" spans="1:81" s="46" customFormat="1" ht="15" customHeight="1" outlineLevel="1">
      <c r="C436" s="53"/>
      <c r="D436" s="47"/>
      <c r="E436" s="47"/>
      <c r="F436" s="47"/>
      <c r="G436" s="47"/>
      <c r="H436" s="47"/>
      <c r="I436" s="49"/>
      <c r="J436" s="49"/>
      <c r="K436" s="49"/>
      <c r="L436" s="49"/>
      <c r="M436" s="30" t="s">
        <v>157</v>
      </c>
    </row>
    <row r="437" spans="1:81" s="46" customFormat="1" ht="15" customHeight="1" outlineLevel="1">
      <c r="C437" s="53"/>
      <c r="D437" s="47"/>
      <c r="E437" s="47"/>
      <c r="F437" s="47"/>
      <c r="G437" s="47"/>
      <c r="H437" s="47"/>
      <c r="I437" s="49"/>
      <c r="J437" s="49"/>
      <c r="K437" s="49"/>
      <c r="L437" s="49"/>
      <c r="M437" s="238" t="s">
        <v>156</v>
      </c>
      <c r="O437" s="285"/>
    </row>
    <row r="438" spans="1:81" s="46" customFormat="1" ht="15" customHeight="1" outlineLevel="1">
      <c r="C438" s="53"/>
      <c r="D438" s="47"/>
      <c r="E438" s="47"/>
      <c r="F438" s="47"/>
      <c r="G438" s="47"/>
      <c r="H438" s="47"/>
      <c r="I438" s="49"/>
      <c r="J438" s="49"/>
      <c r="K438" s="49"/>
      <c r="L438" s="49"/>
      <c r="M438" s="337"/>
      <c r="O438" s="285"/>
    </row>
    <row r="439" spans="1:81" s="46" customFormat="1" ht="15" customHeight="1" outlineLevel="1">
      <c r="B439" s="237"/>
      <c r="C439" s="122"/>
      <c r="D439" s="236"/>
      <c r="E439" s="236"/>
      <c r="F439" s="236"/>
      <c r="G439" s="236"/>
      <c r="H439" s="236"/>
      <c r="I439" s="235"/>
      <c r="J439" s="235"/>
      <c r="K439" s="235"/>
      <c r="L439" s="235"/>
      <c r="M439" s="235"/>
      <c r="N439" s="235"/>
      <c r="O439" s="285"/>
    </row>
    <row r="440" spans="1:81" s="46" customFormat="1" ht="15" customHeight="1"/>
    <row r="441" spans="1:81" ht="15" customHeight="1">
      <c r="A441" s="37" t="s">
        <v>0</v>
      </c>
      <c r="B441" s="57" t="s">
        <v>316</v>
      </c>
      <c r="C441" s="56"/>
      <c r="D441" s="55"/>
      <c r="E441" s="55"/>
      <c r="F441" s="54"/>
      <c r="G441" s="54"/>
      <c r="H441" s="54"/>
      <c r="I441" s="54"/>
      <c r="J441" s="54"/>
      <c r="K441" s="54"/>
      <c r="L441" s="54"/>
      <c r="M441" s="54"/>
      <c r="N441" s="302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</row>
    <row r="442" spans="1:81" ht="15" customHeight="1" outlineLevel="1">
      <c r="A442" s="46"/>
      <c r="B442" s="183"/>
      <c r="C442" s="53"/>
      <c r="D442" s="52"/>
      <c r="E442" s="52"/>
      <c r="F442" s="51"/>
      <c r="G442" s="51"/>
      <c r="H442" s="51"/>
      <c r="I442" s="51"/>
      <c r="J442" s="51"/>
      <c r="K442" s="51"/>
      <c r="L442" s="51"/>
      <c r="M442" s="51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</row>
    <row r="443" spans="1:81" ht="15" customHeight="1" outlineLevel="1" thickBot="1">
      <c r="A443" s="46"/>
      <c r="B443" s="43" t="s">
        <v>263</v>
      </c>
      <c r="C443" s="53"/>
      <c r="D443" s="47"/>
      <c r="E443" s="47"/>
      <c r="F443" s="47"/>
      <c r="G443" s="47"/>
      <c r="H443" s="354">
        <f t="shared" ref="H443:M443" si="133">H$141</f>
        <v>2025</v>
      </c>
      <c r="I443" s="234">
        <f t="shared" si="133"/>
        <v>2026</v>
      </c>
      <c r="J443" s="234">
        <f t="shared" si="133"/>
        <v>2027</v>
      </c>
      <c r="K443" s="234">
        <f t="shared" si="133"/>
        <v>2028</v>
      </c>
      <c r="L443" s="234">
        <f t="shared" si="133"/>
        <v>2029</v>
      </c>
      <c r="M443" s="234">
        <f t="shared" si="133"/>
        <v>2030</v>
      </c>
      <c r="N443" s="49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</row>
    <row r="444" spans="1:81" ht="15" customHeight="1" outlineLevel="1">
      <c r="A444" s="37"/>
      <c r="B444" s="43" t="str">
        <f>$B$142</f>
        <v>Model Running: Base Case Drivers</v>
      </c>
      <c r="C444" s="53"/>
      <c r="D444" s="47"/>
      <c r="E444" s="47"/>
      <c r="F444" s="47"/>
      <c r="G444" s="47"/>
      <c r="H444" s="47"/>
      <c r="I444" s="49"/>
      <c r="J444" s="49"/>
      <c r="K444" s="49"/>
      <c r="L444" s="49"/>
      <c r="M444" s="49"/>
      <c r="N444" s="49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</row>
    <row r="445" spans="1:81" ht="15" customHeight="1" outlineLevel="1">
      <c r="A445" s="46"/>
      <c r="B445" s="43"/>
      <c r="C445" s="53"/>
      <c r="D445" s="47"/>
      <c r="E445" s="47"/>
      <c r="F445" s="47"/>
      <c r="G445" s="47"/>
      <c r="H445" s="47"/>
      <c r="I445" s="49"/>
      <c r="J445" s="49"/>
      <c r="K445" s="49"/>
      <c r="L445" s="49"/>
      <c r="M445" s="49"/>
      <c r="N445" s="49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</row>
    <row r="446" spans="1:81" ht="15" customHeight="1" outlineLevel="1">
      <c r="A446" s="37"/>
      <c r="B446" s="43"/>
      <c r="C446" s="53"/>
      <c r="D446" s="47"/>
      <c r="E446" s="47"/>
      <c r="F446" s="47"/>
      <c r="G446" s="47"/>
      <c r="H446" s="47"/>
      <c r="I446" s="49"/>
      <c r="J446" s="49"/>
      <c r="K446" s="49"/>
      <c r="L446" s="49"/>
      <c r="M446" s="49"/>
      <c r="N446" s="49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</row>
    <row r="447" spans="1:81" ht="15" customHeight="1" outlineLevel="1">
      <c r="A447" s="37"/>
      <c r="B447" s="250" t="s">
        <v>317</v>
      </c>
      <c r="C447" s="112"/>
      <c r="D447" s="47"/>
      <c r="E447" s="112"/>
      <c r="F447" s="265"/>
      <c r="G447" s="265"/>
      <c r="H447" s="265"/>
      <c r="I447" s="336"/>
      <c r="J447" s="336"/>
      <c r="K447" s="336"/>
      <c r="L447" s="336"/>
      <c r="M447" s="336"/>
      <c r="N447" s="33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</row>
    <row r="448" spans="1:81" ht="15" customHeight="1" outlineLevel="1">
      <c r="A448" s="46"/>
      <c r="B448" s="255"/>
      <c r="C448" s="112"/>
      <c r="D448" s="47"/>
      <c r="E448" s="112"/>
      <c r="F448" s="265"/>
      <c r="G448" s="265"/>
      <c r="H448" s="265"/>
      <c r="I448" s="336"/>
      <c r="J448" s="336"/>
      <c r="K448" s="336"/>
      <c r="L448" s="336"/>
      <c r="M448" s="336"/>
      <c r="N448" s="33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</row>
    <row r="449" spans="1:81" ht="15" customHeight="1" outlineLevel="1">
      <c r="A449" s="46"/>
      <c r="B449" s="255" t="s">
        <v>318</v>
      </c>
      <c r="C449" s="112"/>
      <c r="D449" s="47"/>
      <c r="E449" s="112"/>
      <c r="F449" s="265"/>
      <c r="G449" s="265"/>
      <c r="H449" s="47"/>
      <c r="I449" s="544">
        <f>H451</f>
        <v>35934</v>
      </c>
      <c r="J449" s="544">
        <f t="shared" ref="J449:M449" ca="1" si="134">I451</f>
        <v>38148.873050809198</v>
      </c>
      <c r="K449" s="544">
        <f t="shared" ca="1" si="134"/>
        <v>52946.267706460552</v>
      </c>
      <c r="L449" s="544">
        <f t="shared" ca="1" si="134"/>
        <v>71936.624550708279</v>
      </c>
      <c r="M449" s="544">
        <f t="shared" ca="1" si="134"/>
        <v>94527.666043377918</v>
      </c>
      <c r="N449" s="33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</row>
    <row r="450" spans="1:81" ht="15" customHeight="1" outlineLevel="1">
      <c r="A450" s="46"/>
      <c r="B450" s="255" t="s">
        <v>262</v>
      </c>
      <c r="C450" s="112"/>
      <c r="D450" s="47"/>
      <c r="E450" s="112"/>
      <c r="F450" s="47"/>
      <c r="G450" s="47"/>
      <c r="H450" s="47"/>
      <c r="I450" s="545">
        <f ca="1">I80</f>
        <v>2214.8730508091976</v>
      </c>
      <c r="J450" s="545">
        <f ca="1">J80</f>
        <v>14797.394655651355</v>
      </c>
      <c r="K450" s="545">
        <f ca="1">K80</f>
        <v>18990.356844247726</v>
      </c>
      <c r="L450" s="545">
        <f ca="1">L80</f>
        <v>22591.041492669639</v>
      </c>
      <c r="M450" s="545">
        <f ca="1">M80</f>
        <v>29709.828765361483</v>
      </c>
      <c r="N450" s="33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</row>
    <row r="451" spans="1:81" s="46" customFormat="1" ht="15" customHeight="1" outlineLevel="1">
      <c r="A451" s="37"/>
      <c r="B451" s="255" t="s">
        <v>319</v>
      </c>
      <c r="C451" s="112"/>
      <c r="D451" s="47"/>
      <c r="E451" s="112"/>
      <c r="F451" s="47"/>
      <c r="G451" s="47"/>
      <c r="H451" s="546">
        <f>H92</f>
        <v>35934</v>
      </c>
      <c r="I451" s="546">
        <f ca="1">SUM(I449:I450)</f>
        <v>38148.873050809198</v>
      </c>
      <c r="J451" s="546">
        <f t="shared" ref="J451:M451" ca="1" si="135">SUM(J449:J450)</f>
        <v>52946.267706460552</v>
      </c>
      <c r="K451" s="546">
        <f t="shared" ca="1" si="135"/>
        <v>71936.624550708279</v>
      </c>
      <c r="L451" s="546">
        <f t="shared" ca="1" si="135"/>
        <v>94527.666043377918</v>
      </c>
      <c r="M451" s="546">
        <f t="shared" ca="1" si="135"/>
        <v>124237.4948087394</v>
      </c>
      <c r="N451" s="336"/>
    </row>
    <row r="452" spans="1:81" s="46" customFormat="1" ht="15" customHeight="1" outlineLevel="1">
      <c r="A452" s="37"/>
      <c r="B452" s="27"/>
      <c r="C452" s="112"/>
      <c r="D452" s="47"/>
      <c r="E452" s="112"/>
      <c r="F452" s="265"/>
      <c r="G452" s="265"/>
      <c r="H452" s="265"/>
      <c r="I452" s="336"/>
      <c r="J452" s="336"/>
      <c r="K452" s="336"/>
      <c r="L452" s="336"/>
      <c r="M452" s="336"/>
      <c r="N452" s="336"/>
    </row>
    <row r="453" spans="1:81" ht="15" customHeight="1" outlineLevel="1">
      <c r="A453" s="37"/>
      <c r="B453" s="255" t="s">
        <v>320</v>
      </c>
      <c r="C453" s="112"/>
      <c r="D453" s="47"/>
      <c r="E453" s="336"/>
      <c r="F453" s="336"/>
      <c r="G453" s="336"/>
      <c r="H453" s="336"/>
      <c r="I453" s="387">
        <v>4.1000000000000002E-2</v>
      </c>
      <c r="J453" s="387">
        <v>4.1000000000000002E-2</v>
      </c>
      <c r="K453" s="387">
        <v>4.1000000000000002E-2</v>
      </c>
      <c r="L453" s="387">
        <v>4.1000000000000002E-2</v>
      </c>
      <c r="M453" s="387">
        <v>4.1000000000000002E-2</v>
      </c>
      <c r="N453" s="33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</row>
    <row r="454" spans="1:81" ht="15" customHeight="1" outlineLevel="1">
      <c r="A454" s="37"/>
      <c r="B454" s="255" t="s">
        <v>321</v>
      </c>
      <c r="C454" s="112"/>
      <c r="D454" s="47"/>
      <c r="E454" s="336"/>
      <c r="F454" s="336"/>
      <c r="G454" s="336"/>
      <c r="H454" s="336"/>
      <c r="I454" s="546">
        <f ca="1">AVERAGE(I449,I451)*I453</f>
        <v>1518.6988975415886</v>
      </c>
      <c r="J454" s="546">
        <f t="shared" ref="J454:M454" ca="1" si="136">AVERAGE(J449,J451)*J453</f>
        <v>1867.45038552403</v>
      </c>
      <c r="K454" s="546">
        <f t="shared" ca="1" si="136"/>
        <v>2560.0992912719612</v>
      </c>
      <c r="L454" s="546">
        <f t="shared" ca="1" si="136"/>
        <v>3412.5179571787671</v>
      </c>
      <c r="M454" s="546">
        <f t="shared" ca="1" si="136"/>
        <v>4484.6857974684053</v>
      </c>
      <c r="N454" s="33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</row>
    <row r="455" spans="1:81" ht="15" customHeight="1" outlineLevel="1">
      <c r="A455" s="37"/>
      <c r="B455" s="255"/>
      <c r="C455" s="112"/>
      <c r="D455" s="112"/>
      <c r="E455" s="112"/>
      <c r="F455" s="265"/>
      <c r="G455" s="265"/>
      <c r="H455" s="265"/>
      <c r="I455" s="336"/>
      <c r="J455" s="336"/>
      <c r="K455" s="336"/>
      <c r="L455" s="336"/>
      <c r="M455" s="336"/>
      <c r="N455" s="33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</row>
    <row r="456" spans="1:81" ht="15" customHeight="1" outlineLevel="1">
      <c r="A456" s="37"/>
      <c r="B456" s="255"/>
      <c r="C456" s="357"/>
      <c r="D456" s="112"/>
      <c r="E456" s="112"/>
      <c r="F456" s="265"/>
      <c r="G456" s="265"/>
      <c r="H456" s="265"/>
      <c r="I456" s="336"/>
      <c r="J456" s="336"/>
      <c r="K456" s="336"/>
      <c r="L456" s="336"/>
      <c r="M456" s="336"/>
      <c r="N456" s="33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</row>
    <row r="457" spans="1:81" ht="15" customHeight="1" outlineLevel="1">
      <c r="A457" s="37"/>
      <c r="B457" s="194"/>
      <c r="C457" s="357"/>
      <c r="D457" s="112"/>
      <c r="E457" s="112"/>
      <c r="F457" s="450"/>
      <c r="G457" s="450"/>
      <c r="H457" s="450"/>
      <c r="I457" s="335"/>
      <c r="J457" s="335"/>
      <c r="K457" s="335"/>
      <c r="L457" s="335"/>
      <c r="M457" s="335"/>
      <c r="N457" s="33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</row>
    <row r="458" spans="1:81" ht="15" customHeight="1" outlineLevel="1">
      <c r="A458" s="37"/>
      <c r="B458" s="111"/>
      <c r="C458" s="112"/>
      <c r="D458" s="112"/>
      <c r="E458" s="112"/>
      <c r="F458" s="454"/>
      <c r="G458" s="454"/>
      <c r="H458" s="454"/>
      <c r="I458" s="450"/>
      <c r="J458" s="450"/>
      <c r="K458" s="450"/>
      <c r="L458" s="450"/>
      <c r="M458" s="453"/>
      <c r="N458" s="336"/>
      <c r="O458" s="34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</row>
    <row r="459" spans="1:81" ht="15" customHeight="1" outlineLevel="1">
      <c r="A459" s="37"/>
      <c r="B459" s="250" t="s">
        <v>322</v>
      </c>
      <c r="C459" s="112"/>
      <c r="D459" s="265"/>
      <c r="E459" s="112"/>
      <c r="F459" s="265"/>
      <c r="G459" s="265"/>
      <c r="H459" s="265"/>
      <c r="I459" s="336"/>
      <c r="J459" s="336"/>
      <c r="K459" s="336"/>
      <c r="L459" s="336"/>
      <c r="M459" s="336"/>
      <c r="N459" s="33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</row>
    <row r="460" spans="1:81" ht="15" customHeight="1" outlineLevel="1">
      <c r="A460" s="37"/>
      <c r="B460" s="255"/>
      <c r="C460" s="112"/>
      <c r="D460" s="265"/>
      <c r="E460" s="112"/>
      <c r="F460" s="265"/>
      <c r="G460" s="265"/>
      <c r="H460" s="265"/>
      <c r="I460" s="336"/>
      <c r="J460" s="336"/>
      <c r="K460" s="336"/>
      <c r="L460" s="336"/>
      <c r="M460" s="336"/>
      <c r="N460" s="336"/>
      <c r="O460" s="37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</row>
    <row r="461" spans="1:81" ht="15" customHeight="1" outlineLevel="1">
      <c r="A461" s="37"/>
      <c r="B461" s="255" t="s">
        <v>318</v>
      </c>
      <c r="C461" s="112"/>
      <c r="D461" s="112"/>
      <c r="E461" s="112"/>
      <c r="F461" s="265"/>
      <c r="G461" s="265"/>
      <c r="H461" s="47"/>
      <c r="I461" s="544">
        <f>H463</f>
        <v>90678</v>
      </c>
      <c r="J461" s="544">
        <f>I463</f>
        <v>78328</v>
      </c>
      <c r="K461" s="544">
        <f t="shared" ref="K461:M461" si="137">J463</f>
        <v>68978</v>
      </c>
      <c r="L461" s="544">
        <f t="shared" si="137"/>
        <v>58478</v>
      </c>
      <c r="M461" s="544">
        <f t="shared" si="137"/>
        <v>47228</v>
      </c>
      <c r="N461" s="336"/>
      <c r="O461" s="37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</row>
    <row r="462" spans="1:81" ht="15" customHeight="1" outlineLevel="1">
      <c r="A462" s="37"/>
      <c r="B462" s="255" t="s">
        <v>262</v>
      </c>
      <c r="C462" s="357"/>
      <c r="D462" s="112"/>
      <c r="E462" s="265"/>
      <c r="F462" s="265"/>
      <c r="G462" s="265"/>
      <c r="H462" s="47"/>
      <c r="I462" s="545">
        <v>-12350</v>
      </c>
      <c r="J462" s="545">
        <v>-9350</v>
      </c>
      <c r="K462" s="545">
        <v>-10500</v>
      </c>
      <c r="L462" s="545">
        <v>-11250</v>
      </c>
      <c r="M462" s="545">
        <v>-8500</v>
      </c>
      <c r="N462" s="336"/>
      <c r="O462" s="37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</row>
    <row r="463" spans="1:81" ht="15" customHeight="1" outlineLevel="1">
      <c r="A463" s="37"/>
      <c r="B463" s="255" t="s">
        <v>319</v>
      </c>
      <c r="C463" s="357"/>
      <c r="D463" s="112"/>
      <c r="E463" s="265"/>
      <c r="F463" s="265"/>
      <c r="G463" s="265"/>
      <c r="H463" s="546">
        <f>H112+H117</f>
        <v>90678</v>
      </c>
      <c r="I463" s="546">
        <f>SUM(I461:I462)</f>
        <v>78328</v>
      </c>
      <c r="J463" s="546">
        <f t="shared" ref="J463:M463" si="138">SUM(J461:J462)</f>
        <v>68978</v>
      </c>
      <c r="K463" s="546">
        <f t="shared" si="138"/>
        <v>58478</v>
      </c>
      <c r="L463" s="546">
        <f t="shared" si="138"/>
        <v>47228</v>
      </c>
      <c r="M463" s="546">
        <f t="shared" si="138"/>
        <v>38728</v>
      </c>
      <c r="N463" s="336"/>
      <c r="O463" s="37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</row>
    <row r="464" spans="1:81" ht="15" customHeight="1" outlineLevel="1">
      <c r="A464" s="37"/>
      <c r="C464" s="112"/>
      <c r="D464" s="112"/>
      <c r="E464" s="112"/>
      <c r="F464" s="335"/>
      <c r="G464" s="335"/>
      <c r="H464" s="335"/>
      <c r="I464" s="335"/>
      <c r="J464" s="335"/>
      <c r="K464" s="335"/>
      <c r="L464" s="335"/>
      <c r="M464" s="335"/>
      <c r="N464" s="336"/>
      <c r="O464" s="37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</row>
    <row r="465" spans="1:81" ht="15" customHeight="1" outlineLevel="1">
      <c r="A465" s="37"/>
      <c r="B465" s="255" t="s">
        <v>320</v>
      </c>
      <c r="C465" s="112"/>
      <c r="D465" s="112"/>
      <c r="E465" s="265"/>
      <c r="F465" s="265"/>
      <c r="G465" s="265"/>
      <c r="H465" s="265"/>
      <c r="I465" s="387">
        <v>3.6999999999999998E-2</v>
      </c>
      <c r="J465" s="387">
        <v>3.6999999999999998E-2</v>
      </c>
      <c r="K465" s="387">
        <v>3.6999999999999998E-2</v>
      </c>
      <c r="L465" s="387">
        <v>3.6999999999999998E-2</v>
      </c>
      <c r="M465" s="387">
        <v>3.6999999999999998E-2</v>
      </c>
      <c r="N465" s="336"/>
      <c r="O465" s="37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</row>
    <row r="466" spans="1:81" ht="15" customHeight="1" outlineLevel="1">
      <c r="A466" s="37"/>
      <c r="B466" s="255" t="s">
        <v>141</v>
      </c>
      <c r="C466" s="357"/>
      <c r="D466" s="112"/>
      <c r="E466" s="265"/>
      <c r="F466" s="265"/>
      <c r="G466" s="265"/>
      <c r="H466" s="265"/>
      <c r="I466" s="546">
        <f>AVERAGE(I461,I463)*I465</f>
        <v>3126.6109999999999</v>
      </c>
      <c r="J466" s="546">
        <f t="shared" ref="J466:M466" si="139">AVERAGE(J461,J463)*J465</f>
        <v>2725.1610000000001</v>
      </c>
      <c r="K466" s="546">
        <f t="shared" si="139"/>
        <v>2357.9359999999997</v>
      </c>
      <c r="L466" s="546">
        <f t="shared" si="139"/>
        <v>1955.5609999999999</v>
      </c>
      <c r="M466" s="546">
        <f t="shared" si="139"/>
        <v>1590.1859999999999</v>
      </c>
      <c r="N466" s="336"/>
      <c r="O466" s="37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</row>
    <row r="467" spans="1:81" ht="15" customHeight="1" outlineLevel="1">
      <c r="A467" s="46"/>
      <c r="B467" s="46"/>
      <c r="C467" s="53"/>
      <c r="D467" s="47"/>
      <c r="E467" s="47"/>
      <c r="F467" s="47"/>
      <c r="G467" s="47"/>
      <c r="H467" s="47"/>
      <c r="I467" s="49"/>
      <c r="J467" s="49"/>
      <c r="K467" s="49"/>
      <c r="L467" s="49"/>
      <c r="M467" s="337"/>
      <c r="N467" s="46"/>
      <c r="O467" s="285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</row>
    <row r="468" spans="1:81" ht="15" customHeight="1" outlineLevel="1">
      <c r="A468" s="46"/>
      <c r="B468" s="237"/>
      <c r="C468" s="122"/>
      <c r="D468" s="236"/>
      <c r="E468" s="236"/>
      <c r="F468" s="236"/>
      <c r="G468" s="236"/>
      <c r="H468" s="236"/>
      <c r="I468" s="235"/>
      <c r="J468" s="235"/>
      <c r="K468" s="235"/>
      <c r="L468" s="235"/>
      <c r="M468" s="235"/>
      <c r="N468" s="235"/>
      <c r="O468" s="285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</row>
    <row r="469" spans="1:81" ht="15" customHeight="1">
      <c r="A469" s="46"/>
      <c r="B469" s="43"/>
      <c r="C469" s="53"/>
      <c r="D469" s="47"/>
      <c r="E469" s="47"/>
      <c r="F469" s="47"/>
      <c r="G469" s="47"/>
      <c r="H469" s="47"/>
      <c r="I469" s="49"/>
      <c r="J469" s="49"/>
      <c r="K469" s="49"/>
      <c r="L469" s="49"/>
      <c r="M469" s="49"/>
      <c r="N469" s="49"/>
      <c r="O469" s="27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</row>
    <row r="470" spans="1:81" ht="15" customHeight="1">
      <c r="A470" s="37" t="s">
        <v>0</v>
      </c>
      <c r="B470" s="57" t="s">
        <v>323</v>
      </c>
      <c r="C470" s="56"/>
      <c r="D470" s="55"/>
      <c r="E470" s="55"/>
      <c r="F470" s="54"/>
      <c r="G470" s="54"/>
      <c r="H470" s="54"/>
      <c r="I470" s="54"/>
      <c r="J470" s="54"/>
      <c r="K470" s="54"/>
      <c r="L470" s="54"/>
      <c r="M470" s="54"/>
      <c r="N470" s="302"/>
      <c r="O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</row>
    <row r="471" spans="1:81" ht="15" customHeight="1" outlineLevel="1">
      <c r="A471" s="46"/>
      <c r="B471" s="183"/>
      <c r="C471" s="53"/>
      <c r="D471" s="52"/>
      <c r="E471" s="52"/>
      <c r="F471" s="51"/>
      <c r="G471" s="51"/>
      <c r="H471" s="51"/>
      <c r="I471" s="51"/>
      <c r="J471" s="51"/>
      <c r="K471" s="51"/>
      <c r="L471" s="51"/>
      <c r="M471" s="51"/>
      <c r="N471" s="51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</row>
    <row r="472" spans="1:81" ht="15" customHeight="1" outlineLevel="1" thickBot="1">
      <c r="A472" s="46"/>
      <c r="B472" s="43" t="s">
        <v>263</v>
      </c>
      <c r="C472" s="53"/>
      <c r="D472" s="47"/>
      <c r="E472" s="47"/>
      <c r="F472" s="47"/>
      <c r="G472" s="47"/>
      <c r="H472" s="354">
        <f t="shared" ref="H472:M472" si="140">H$141</f>
        <v>2025</v>
      </c>
      <c r="I472" s="234">
        <f t="shared" si="140"/>
        <v>2026</v>
      </c>
      <c r="J472" s="234">
        <f t="shared" si="140"/>
        <v>2027</v>
      </c>
      <c r="K472" s="234">
        <f t="shared" si="140"/>
        <v>2028</v>
      </c>
      <c r="L472" s="234">
        <f t="shared" si="140"/>
        <v>2029</v>
      </c>
      <c r="M472" s="234">
        <f t="shared" si="140"/>
        <v>2030</v>
      </c>
      <c r="N472" s="49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</row>
    <row r="473" spans="1:81" ht="15" customHeight="1" outlineLevel="1">
      <c r="A473" s="37"/>
      <c r="B473" s="43" t="str">
        <f>$B$142</f>
        <v>Model Running: Base Case Drivers</v>
      </c>
      <c r="C473" s="53"/>
      <c r="D473" s="47"/>
      <c r="E473" s="47"/>
      <c r="F473" s="47"/>
      <c r="G473" s="47"/>
      <c r="H473" s="47"/>
      <c r="I473" s="49"/>
      <c r="J473" s="49"/>
      <c r="K473" s="49"/>
      <c r="L473" s="49"/>
      <c r="M473" s="49"/>
      <c r="N473" s="49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</row>
    <row r="474" spans="1:81" ht="15" customHeight="1" outlineLevel="1">
      <c r="A474" s="46"/>
      <c r="B474" s="43"/>
      <c r="C474" s="53"/>
      <c r="D474" s="47"/>
      <c r="E474" s="47"/>
      <c r="F474" s="47"/>
      <c r="G474" s="47"/>
      <c r="H474" s="47"/>
      <c r="I474" s="49"/>
      <c r="J474" s="49"/>
      <c r="K474" s="49"/>
      <c r="L474" s="49"/>
      <c r="M474" s="49"/>
      <c r="N474" s="49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</row>
    <row r="475" spans="1:81" ht="15" customHeight="1" outlineLevel="1">
      <c r="A475" s="37"/>
      <c r="B475" s="43"/>
      <c r="C475" s="53"/>
      <c r="D475" s="47"/>
      <c r="E475" s="47"/>
      <c r="F475" s="47"/>
      <c r="G475" s="47"/>
      <c r="H475" s="47"/>
      <c r="I475" s="255"/>
      <c r="J475" s="49"/>
      <c r="K475" s="49"/>
      <c r="L475" s="49"/>
      <c r="M475" s="49"/>
      <c r="N475" s="49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</row>
    <row r="476" spans="1:81" ht="15" customHeight="1" outlineLevel="1">
      <c r="A476" s="37"/>
      <c r="B476" s="250" t="s">
        <v>334</v>
      </c>
      <c r="C476" s="112"/>
      <c r="D476" s="47"/>
      <c r="E476" s="112"/>
      <c r="F476" s="265"/>
      <c r="G476" s="265"/>
      <c r="H476" s="265"/>
      <c r="I476" s="255"/>
      <c r="J476" s="336"/>
      <c r="K476" s="336"/>
      <c r="L476" s="336"/>
      <c r="M476" s="336"/>
      <c r="N476" s="33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</row>
    <row r="477" spans="1:81" ht="15" customHeight="1" outlineLevel="1">
      <c r="A477" s="46"/>
      <c r="B477" s="255"/>
      <c r="C477" s="112"/>
      <c r="D477" s="47"/>
      <c r="E477" s="112"/>
      <c r="F477" s="265"/>
      <c r="G477" s="265"/>
      <c r="H477" s="265"/>
      <c r="I477" s="336"/>
      <c r="J477" s="336"/>
      <c r="K477" s="336"/>
      <c r="L477" s="336"/>
      <c r="M477" s="336"/>
      <c r="N477" s="33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</row>
    <row r="478" spans="1:81" ht="15" customHeight="1" outlineLevel="1">
      <c r="A478" s="46"/>
      <c r="B478" s="255" t="s">
        <v>324</v>
      </c>
      <c r="C478" s="112"/>
      <c r="D478" s="47"/>
      <c r="E478" s="112"/>
      <c r="F478" s="265"/>
      <c r="G478" s="265"/>
      <c r="H478" s="265"/>
      <c r="I478" s="544">
        <f>H81</f>
        <v>35934</v>
      </c>
      <c r="J478" s="544">
        <f ca="1">I81</f>
        <v>38148.873050809198</v>
      </c>
      <c r="K478" s="544">
        <f ca="1">J81</f>
        <v>52946.267706460552</v>
      </c>
      <c r="L478" s="544">
        <f ca="1">K81</f>
        <v>71936.624550708279</v>
      </c>
      <c r="M478" s="544">
        <f ca="1">L81</f>
        <v>94527.666043377918</v>
      </c>
      <c r="N478" s="33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</row>
    <row r="479" spans="1:81" ht="15" customHeight="1" outlineLevel="1">
      <c r="A479" s="46"/>
      <c r="B479" s="255" t="s">
        <v>325</v>
      </c>
      <c r="C479" s="112"/>
      <c r="D479" s="47"/>
      <c r="E479" s="112"/>
      <c r="F479" s="47"/>
      <c r="G479" s="265"/>
      <c r="H479" s="265"/>
      <c r="I479" s="544">
        <f ca="1">I60</f>
        <v>140494.90907329792</v>
      </c>
      <c r="J479" s="544">
        <f ca="1">J60</f>
        <v>151555.21895904571</v>
      </c>
      <c r="K479" s="544">
        <f ca="1">K60</f>
        <v>158041.63515054499</v>
      </c>
      <c r="L479" s="544">
        <f ca="1">L60</f>
        <v>163401.04553223759</v>
      </c>
      <c r="M479" s="544">
        <f ca="1">M60</f>
        <v>168828.84121161135</v>
      </c>
      <c r="N479" s="33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</row>
    <row r="480" spans="1:81" ht="15" customHeight="1" outlineLevel="1">
      <c r="A480" s="37"/>
      <c r="B480" s="255" t="s">
        <v>326</v>
      </c>
      <c r="C480" s="112"/>
      <c r="D480" s="47"/>
      <c r="E480" s="112"/>
      <c r="F480" s="47"/>
      <c r="G480" s="265"/>
      <c r="H480" s="265"/>
      <c r="I480" s="544">
        <f>I66</f>
        <v>-14500</v>
      </c>
      <c r="J480" s="544">
        <f>J66</f>
        <v>-15200</v>
      </c>
      <c r="K480" s="544">
        <f>K66</f>
        <v>-15800</v>
      </c>
      <c r="L480" s="544">
        <f>L66</f>
        <v>-16500</v>
      </c>
      <c r="M480" s="544">
        <f>M66</f>
        <v>-17200</v>
      </c>
      <c r="N480" s="33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</row>
    <row r="481" spans="1:81" ht="15" customHeight="1" outlineLevel="1">
      <c r="A481" s="37"/>
      <c r="B481" s="255" t="s">
        <v>282</v>
      </c>
      <c r="C481" s="112"/>
      <c r="D481" s="47"/>
      <c r="E481" s="112"/>
      <c r="F481" s="265"/>
      <c r="G481" s="265"/>
      <c r="H481" s="265"/>
      <c r="I481" s="544">
        <f ca="1">I74</f>
        <v>-17430.036022488744</v>
      </c>
      <c r="J481" s="544">
        <f ca="1">J74</f>
        <v>-18207.824303394358</v>
      </c>
      <c r="K481" s="544">
        <f ca="1">K74</f>
        <v>-18751.278306297274</v>
      </c>
      <c r="L481" s="544">
        <f ca="1">L74</f>
        <v>-19060.004039567946</v>
      </c>
      <c r="M481" s="544">
        <f ca="1">M74</f>
        <v>-19419.012446249857</v>
      </c>
      <c r="N481" s="33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</row>
    <row r="482" spans="1:81" ht="15" customHeight="1" outlineLevel="1">
      <c r="A482" s="37"/>
      <c r="B482" s="255" t="s">
        <v>310</v>
      </c>
      <c r="C482" s="112"/>
      <c r="D482" s="47"/>
      <c r="E482" s="336"/>
      <c r="F482" s="336"/>
      <c r="G482" s="265"/>
      <c r="H482" s="265"/>
      <c r="I482" s="544">
        <f>I71</f>
        <v>-90000</v>
      </c>
      <c r="J482" s="544">
        <f>J71</f>
        <v>-90000</v>
      </c>
      <c r="K482" s="544">
        <f>K71</f>
        <v>-90000</v>
      </c>
      <c r="L482" s="544">
        <f>L71</f>
        <v>-90000</v>
      </c>
      <c r="M482" s="544">
        <f>M71</f>
        <v>-90000</v>
      </c>
      <c r="N482" s="33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</row>
    <row r="483" spans="1:81" ht="15" customHeight="1" outlineLevel="1">
      <c r="A483" s="37"/>
      <c r="B483" s="255" t="s">
        <v>335</v>
      </c>
      <c r="C483" s="112"/>
      <c r="D483" s="47"/>
      <c r="E483" s="336"/>
      <c r="F483" s="336"/>
      <c r="G483" s="265"/>
      <c r="H483" s="265"/>
      <c r="I483" s="544">
        <f>I462</f>
        <v>-12350</v>
      </c>
      <c r="J483" s="544">
        <f>J462</f>
        <v>-9350</v>
      </c>
      <c r="K483" s="544">
        <f>K462</f>
        <v>-10500</v>
      </c>
      <c r="L483" s="544">
        <f>L462</f>
        <v>-11250</v>
      </c>
      <c r="M483" s="544">
        <f>M462</f>
        <v>-8500</v>
      </c>
      <c r="N483" s="33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</row>
    <row r="484" spans="1:81" ht="15" customHeight="1" outlineLevel="1">
      <c r="A484" s="37"/>
      <c r="B484" s="255" t="s">
        <v>336</v>
      </c>
      <c r="C484" s="112"/>
      <c r="D484" s="112"/>
      <c r="E484" s="112"/>
      <c r="F484" s="265"/>
      <c r="G484" s="265"/>
      <c r="H484" s="265"/>
      <c r="I484" s="545">
        <f>I73</f>
        <v>-4000</v>
      </c>
      <c r="J484" s="545">
        <f>J73</f>
        <v>-4000</v>
      </c>
      <c r="K484" s="545">
        <f>K73</f>
        <v>-4000</v>
      </c>
      <c r="L484" s="545">
        <f>L73</f>
        <v>-4000</v>
      </c>
      <c r="M484" s="545">
        <f>M73</f>
        <v>-4000</v>
      </c>
      <c r="N484" s="33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</row>
    <row r="485" spans="1:81" ht="15" customHeight="1" outlineLevel="1">
      <c r="A485" s="37"/>
      <c r="B485" s="255" t="s">
        <v>337</v>
      </c>
      <c r="C485" s="357"/>
      <c r="D485" s="112"/>
      <c r="E485" s="112"/>
      <c r="F485" s="265"/>
      <c r="G485" s="265"/>
      <c r="H485" s="265"/>
      <c r="I485" s="546">
        <f ca="1">SUM(I478:I484)</f>
        <v>38148.873050809168</v>
      </c>
      <c r="J485" s="546">
        <f t="shared" ref="J485:M485" ca="1" si="141">SUM(J478:J484)</f>
        <v>52946.267706460552</v>
      </c>
      <c r="K485" s="546">
        <f t="shared" ca="1" si="141"/>
        <v>71936.624550708279</v>
      </c>
      <c r="L485" s="546">
        <f t="shared" ca="1" si="141"/>
        <v>94527.666043377918</v>
      </c>
      <c r="M485" s="546">
        <f t="shared" ca="1" si="141"/>
        <v>124237.49480873937</v>
      </c>
      <c r="N485" s="33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</row>
    <row r="486" spans="1:81" ht="15" customHeight="1" outlineLevel="1">
      <c r="A486" s="37"/>
      <c r="B486"/>
      <c r="C486" s="357"/>
      <c r="D486" s="112"/>
      <c r="E486" s="112"/>
      <c r="F486" s="265"/>
      <c r="G486" s="265"/>
      <c r="H486" s="265"/>
      <c r="I486" s="336"/>
      <c r="J486" s="336"/>
      <c r="K486" s="336"/>
      <c r="L486" s="336"/>
      <c r="M486" s="336"/>
      <c r="N486" s="33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</row>
    <row r="487" spans="1:81" ht="15" customHeight="1" outlineLevel="1">
      <c r="A487" s="37"/>
      <c r="B487" s="447"/>
      <c r="C487" s="447"/>
      <c r="D487" s="447"/>
      <c r="E487" s="447"/>
      <c r="F487" s="447"/>
      <c r="G487" s="447"/>
      <c r="H487" s="447"/>
      <c r="I487" s="447"/>
      <c r="J487" s="447"/>
      <c r="K487" s="447"/>
      <c r="L487" s="447"/>
      <c r="M487" s="447"/>
      <c r="N487" s="33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</row>
    <row r="488" spans="1:81" ht="15" customHeight="1" outlineLevel="1">
      <c r="A488" s="37"/>
      <c r="B488" s="335"/>
      <c r="C488" s="335"/>
      <c r="D488" s="335"/>
      <c r="E488" s="335"/>
      <c r="F488" s="335"/>
      <c r="G488" s="335"/>
      <c r="H488" s="335"/>
      <c r="I488" s="335"/>
      <c r="J488" s="335"/>
      <c r="K488" s="335"/>
      <c r="L488" s="335"/>
      <c r="M488" s="335"/>
      <c r="N488" s="33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</row>
    <row r="489" spans="1:81" ht="15" customHeight="1" outlineLevel="1">
      <c r="A489" s="37"/>
      <c r="B489" s="250" t="s">
        <v>338</v>
      </c>
      <c r="C489" s="112"/>
      <c r="D489" s="265"/>
      <c r="E489" s="112"/>
      <c r="F489" s="265"/>
      <c r="G489" s="265"/>
      <c r="H489" s="265"/>
      <c r="I489" s="336"/>
      <c r="J489" s="336"/>
      <c r="K489" s="336"/>
      <c r="L489" s="336"/>
      <c r="M489" s="336"/>
      <c r="N489" s="33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</row>
    <row r="490" spans="1:81" ht="15" customHeight="1" outlineLevel="1">
      <c r="A490" s="37"/>
      <c r="B490" s="255"/>
      <c r="C490" s="112"/>
      <c r="D490" s="265"/>
      <c r="E490" s="112"/>
      <c r="F490" s="265"/>
      <c r="G490" s="265"/>
      <c r="H490" s="265"/>
      <c r="I490" s="336"/>
      <c r="J490" s="336"/>
      <c r="K490" s="336"/>
      <c r="L490" s="336"/>
      <c r="M490" s="336"/>
      <c r="N490" s="33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</row>
    <row r="491" spans="1:81" ht="15" customHeight="1" outlineLevel="1">
      <c r="A491" s="37"/>
      <c r="B491" s="255" t="s">
        <v>318</v>
      </c>
      <c r="C491" s="112"/>
      <c r="D491" s="112"/>
      <c r="E491" s="112"/>
      <c r="F491" s="265"/>
      <c r="G491" s="265"/>
      <c r="H491" s="265"/>
      <c r="I491" s="544">
        <f>H493</f>
        <v>7979</v>
      </c>
      <c r="J491" s="544">
        <f t="shared" ref="J491:M491" si="142">I493</f>
        <v>7979</v>
      </c>
      <c r="K491" s="544">
        <f t="shared" si="142"/>
        <v>7979</v>
      </c>
      <c r="L491" s="544">
        <f t="shared" si="142"/>
        <v>7979</v>
      </c>
      <c r="M491" s="544">
        <f t="shared" si="142"/>
        <v>7979</v>
      </c>
      <c r="N491" s="33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</row>
    <row r="492" spans="1:81" ht="15" customHeight="1" outlineLevel="1">
      <c r="A492" s="37"/>
      <c r="B492" s="255" t="s">
        <v>262</v>
      </c>
      <c r="C492" s="357"/>
      <c r="D492" s="112"/>
      <c r="E492" s="265"/>
      <c r="F492" s="265"/>
      <c r="G492" s="265"/>
      <c r="H492" s="265"/>
      <c r="I492" s="545">
        <v>0</v>
      </c>
      <c r="J492" s="545">
        <v>0</v>
      </c>
      <c r="K492" s="545">
        <v>0</v>
      </c>
      <c r="L492" s="545">
        <v>0</v>
      </c>
      <c r="M492" s="545">
        <v>0</v>
      </c>
      <c r="N492" s="33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</row>
    <row r="493" spans="1:81" ht="15" customHeight="1" outlineLevel="1">
      <c r="A493" s="37"/>
      <c r="B493" s="255" t="s">
        <v>319</v>
      </c>
      <c r="C493" s="357"/>
      <c r="D493" s="112"/>
      <c r="E493" s="265"/>
      <c r="F493" s="265"/>
      <c r="G493" s="265"/>
      <c r="H493" s="546">
        <f>H110</f>
        <v>7979</v>
      </c>
      <c r="I493" s="546">
        <f>SUM(I491:I492)</f>
        <v>7979</v>
      </c>
      <c r="J493" s="546">
        <f t="shared" ref="J493:M493" si="143">SUM(J491:J492)</f>
        <v>7979</v>
      </c>
      <c r="K493" s="546">
        <f t="shared" si="143"/>
        <v>7979</v>
      </c>
      <c r="L493" s="546">
        <f t="shared" si="143"/>
        <v>7979</v>
      </c>
      <c r="M493" s="546">
        <f t="shared" si="143"/>
        <v>7979</v>
      </c>
      <c r="N493" s="33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</row>
    <row r="494" spans="1:81" ht="15" customHeight="1" outlineLevel="1">
      <c r="A494" s="37"/>
      <c r="C494" s="112"/>
      <c r="D494" s="112"/>
      <c r="E494" s="112"/>
      <c r="F494" s="335"/>
      <c r="G494" s="265"/>
      <c r="H494" s="265"/>
      <c r="I494" s="336"/>
      <c r="J494" s="336"/>
      <c r="K494" s="336"/>
      <c r="L494" s="336"/>
      <c r="M494" s="336"/>
      <c r="N494" s="33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</row>
    <row r="495" spans="1:81" ht="15" customHeight="1" outlineLevel="1">
      <c r="A495" s="37"/>
      <c r="B495" s="255" t="s">
        <v>339</v>
      </c>
      <c r="C495" s="112"/>
      <c r="D495" s="112"/>
      <c r="E495" s="265"/>
      <c r="F495" s="265"/>
      <c r="G495" s="265"/>
      <c r="H495" s="265"/>
      <c r="I495" s="546">
        <f>AVERAGE(I491,I493)</f>
        <v>7979</v>
      </c>
      <c r="J495" s="546">
        <f t="shared" ref="J495:M495" si="144">AVERAGE(J491,J493)</f>
        <v>7979</v>
      </c>
      <c r="K495" s="546">
        <f t="shared" si="144"/>
        <v>7979</v>
      </c>
      <c r="L495" s="546">
        <f t="shared" si="144"/>
        <v>7979</v>
      </c>
      <c r="M495" s="546">
        <f t="shared" si="144"/>
        <v>7979</v>
      </c>
      <c r="N495" s="33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</row>
    <row r="496" spans="1:81" ht="15" customHeight="1" outlineLevel="1">
      <c r="A496" s="37"/>
      <c r="B496" s="255"/>
      <c r="C496" s="357"/>
      <c r="D496" s="112"/>
      <c r="E496" s="265"/>
      <c r="F496" s="265"/>
      <c r="G496" s="265"/>
      <c r="H496" s="265"/>
      <c r="I496" s="336"/>
      <c r="J496" s="336"/>
      <c r="K496" s="336"/>
      <c r="L496" s="336"/>
      <c r="M496" s="336"/>
      <c r="N496" s="33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</row>
    <row r="497" spans="1:81" ht="15" customHeight="1" outlineLevel="1">
      <c r="A497" s="37"/>
      <c r="B497" s="447"/>
      <c r="C497" s="447"/>
      <c r="D497" s="447"/>
      <c r="E497" s="447"/>
      <c r="F497" s="447"/>
      <c r="G497" s="447"/>
      <c r="H497" s="447"/>
      <c r="I497" s="447"/>
      <c r="J497" s="447"/>
      <c r="K497" s="447"/>
      <c r="L497" s="447"/>
      <c r="M497" s="447"/>
      <c r="N497" s="33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</row>
    <row r="498" spans="1:81" ht="15" customHeight="1" outlineLevel="1">
      <c r="A498" s="37"/>
      <c r="B498" s="335"/>
      <c r="C498" s="335"/>
      <c r="D498" s="335"/>
      <c r="E498" s="335"/>
      <c r="F498" s="335"/>
      <c r="G498" s="335"/>
      <c r="H498" s="335"/>
      <c r="I498" s="335"/>
      <c r="J498" s="335"/>
      <c r="K498" s="335"/>
      <c r="L498" s="335"/>
      <c r="M498" s="335"/>
      <c r="N498" s="33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</row>
    <row r="499" spans="1:81" ht="15" customHeight="1" outlineLevel="1">
      <c r="A499" s="37"/>
      <c r="B499" s="255"/>
      <c r="C499" s="357"/>
      <c r="D499" s="112"/>
      <c r="E499" s="112"/>
      <c r="F499" s="265"/>
      <c r="G499" s="265"/>
      <c r="H499" s="265"/>
      <c r="I499" s="336"/>
      <c r="J499" s="336"/>
      <c r="K499" s="336"/>
      <c r="L499" s="336"/>
      <c r="M499" s="336"/>
      <c r="N499" s="33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</row>
    <row r="500" spans="1:81" ht="15" customHeight="1" outlineLevel="1">
      <c r="A500" s="37"/>
      <c r="B500" s="255" t="s">
        <v>141</v>
      </c>
      <c r="C500" s="357"/>
      <c r="D500" s="112"/>
      <c r="E500" s="112"/>
      <c r="F500" s="112"/>
      <c r="G500" s="112"/>
      <c r="H500" s="265"/>
      <c r="I500" s="546">
        <f>I466+(I495*I465)</f>
        <v>3421.8339999999998</v>
      </c>
      <c r="J500" s="546">
        <f>J466+(J495*J465)</f>
        <v>3020.384</v>
      </c>
      <c r="K500" s="546">
        <f>K466+(K495*K465)</f>
        <v>2653.1589999999997</v>
      </c>
      <c r="L500" s="546">
        <f>L466+(L495*L465)</f>
        <v>2250.7840000000001</v>
      </c>
      <c r="M500" s="546">
        <f>M466+(M495*M465)</f>
        <v>1885.4089999999999</v>
      </c>
      <c r="N500" s="33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</row>
    <row r="501" spans="1:81" ht="15" customHeight="1" outlineLevel="1">
      <c r="A501" s="37"/>
      <c r="B501" s="255" t="s">
        <v>327</v>
      </c>
      <c r="C501" s="357"/>
      <c r="D501" s="112"/>
      <c r="E501" s="112"/>
      <c r="F501" s="112"/>
      <c r="G501" s="112"/>
      <c r="H501" s="265"/>
      <c r="I501" s="546">
        <f ca="1">I454</f>
        <v>1518.6988975415886</v>
      </c>
      <c r="J501" s="546">
        <f ca="1">J454</f>
        <v>1867.45038552403</v>
      </c>
      <c r="K501" s="546">
        <f ca="1">K454</f>
        <v>2560.0992912719612</v>
      </c>
      <c r="L501" s="546">
        <f ca="1">L454</f>
        <v>3412.5179571787671</v>
      </c>
      <c r="M501" s="546">
        <f ca="1">M454</f>
        <v>4484.6857974684053</v>
      </c>
      <c r="N501" s="33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</row>
    <row r="502" spans="1:81" ht="15" customHeight="1" outlineLevel="1" thickBot="1">
      <c r="A502" s="37"/>
      <c r="B502" s="255" t="s">
        <v>328</v>
      </c>
      <c r="C502" s="357"/>
      <c r="D502" s="112"/>
      <c r="E502" s="112"/>
      <c r="F502" s="335"/>
      <c r="G502" s="335"/>
      <c r="H502" s="265"/>
      <c r="I502" s="547">
        <f ca="1">I500-I501</f>
        <v>1903.1351024584112</v>
      </c>
      <c r="J502" s="547">
        <f t="shared" ref="J502:M502" ca="1" si="145">J500-J501</f>
        <v>1152.93361447597</v>
      </c>
      <c r="K502" s="547">
        <f t="shared" ca="1" si="145"/>
        <v>93.059708728038459</v>
      </c>
      <c r="L502" s="547">
        <f t="shared" ca="1" si="145"/>
        <v>-1161.733957178767</v>
      </c>
      <c r="M502" s="547">
        <f t="shared" ca="1" si="145"/>
        <v>-2599.2767974684057</v>
      </c>
      <c r="N502" s="33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</row>
    <row r="503" spans="1:81" ht="15" customHeight="1" outlineLevel="1">
      <c r="H503" s="265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</row>
    <row r="504" spans="1:81" ht="15" customHeight="1" outlineLevel="1"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</row>
    <row r="505" spans="1:81" ht="15" customHeight="1"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</row>
    <row r="506" spans="1:81" ht="15" customHeight="1">
      <c r="A506" s="46" t="s">
        <v>0</v>
      </c>
      <c r="B506" s="57" t="s">
        <v>329</v>
      </c>
      <c r="C506" s="56"/>
      <c r="D506" s="539"/>
      <c r="E506" s="539"/>
      <c r="F506" s="54"/>
      <c r="G506" s="54"/>
      <c r="H506" s="54"/>
      <c r="I506" s="540"/>
      <c r="J506" s="541"/>
      <c r="K506" s="541"/>
      <c r="L506" s="541"/>
      <c r="M506" s="541"/>
      <c r="N506" s="27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</row>
    <row r="507" spans="1:81" ht="15" customHeight="1" outlineLevel="1">
      <c r="A507" s="46"/>
      <c r="B507" s="183"/>
      <c r="C507" s="53"/>
      <c r="D507" s="52"/>
      <c r="E507" s="52"/>
      <c r="F507" s="51"/>
      <c r="G507" s="51"/>
      <c r="H507" s="51"/>
      <c r="I507" s="51"/>
      <c r="J507" s="51"/>
      <c r="K507" s="51"/>
      <c r="L507" s="51"/>
      <c r="M507" s="51"/>
      <c r="N507" s="27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</row>
    <row r="508" spans="1:81" ht="15" customHeight="1" outlineLevel="1" thickBot="1">
      <c r="A508" s="46"/>
      <c r="B508" s="43" t="s">
        <v>263</v>
      </c>
      <c r="C508" s="53"/>
      <c r="D508" s="47"/>
      <c r="E508" s="47"/>
      <c r="F508" s="47"/>
      <c r="G508" s="47"/>
      <c r="H508" s="532">
        <f>H$5</f>
        <v>2025</v>
      </c>
      <c r="I508" s="533">
        <f t="shared" ref="I508:M508" si="146">I$5</f>
        <v>2026</v>
      </c>
      <c r="J508" s="533">
        <f t="shared" si="146"/>
        <v>2027</v>
      </c>
      <c r="K508" s="533">
        <f t="shared" si="146"/>
        <v>2028</v>
      </c>
      <c r="L508" s="533">
        <f t="shared" si="146"/>
        <v>2029</v>
      </c>
      <c r="M508" s="533">
        <f t="shared" si="146"/>
        <v>2030</v>
      </c>
      <c r="N508" s="27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</row>
    <row r="509" spans="1:81" ht="15" customHeight="1" outlineLevel="1">
      <c r="A509" s="37"/>
      <c r="B509" s="43" t="str">
        <f>B$6</f>
        <v>Model Running: Base Case Drivers</v>
      </c>
      <c r="C509" s="53"/>
      <c r="D509" s="47"/>
      <c r="E509" s="47"/>
      <c r="F509" s="47"/>
      <c r="G509" s="47"/>
      <c r="H509" s="47"/>
      <c r="I509" s="49"/>
      <c r="J509" s="49"/>
      <c r="K509" s="49"/>
      <c r="L509" s="49"/>
      <c r="M509" s="49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</row>
    <row r="510" spans="1:81" ht="15" customHeight="1" outlineLevel="1">
      <c r="A510" s="46"/>
      <c r="B510" s="43"/>
      <c r="C510" s="53"/>
      <c r="D510" s="47"/>
      <c r="E510" s="47"/>
      <c r="F510" s="47"/>
      <c r="G510" s="47"/>
      <c r="H510" s="47"/>
      <c r="I510" s="49"/>
      <c r="J510" s="49"/>
      <c r="K510" s="49"/>
      <c r="L510" s="49"/>
      <c r="M510" s="49"/>
      <c r="N510" s="25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</row>
    <row r="511" spans="1:81" ht="15" customHeight="1" outlineLevel="1">
      <c r="A511" s="46"/>
      <c r="B511" s="43"/>
      <c r="C511" s="53"/>
      <c r="D511" s="47"/>
      <c r="E511" s="47"/>
      <c r="F511" s="47"/>
      <c r="G511" s="47"/>
      <c r="H511" s="47"/>
      <c r="I511" s="49"/>
      <c r="J511" s="49"/>
      <c r="K511" s="49"/>
      <c r="L511" s="49"/>
      <c r="M511" s="49"/>
      <c r="N511" s="25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</row>
    <row r="512" spans="1:81" ht="15" customHeight="1" outlineLevel="1">
      <c r="B512" s="250" t="s">
        <v>330</v>
      </c>
      <c r="C512" s="53"/>
      <c r="D512" s="47"/>
      <c r="E512" s="47"/>
      <c r="F512" s="47"/>
      <c r="G512" s="47"/>
      <c r="H512" s="47"/>
      <c r="I512" s="49"/>
      <c r="J512" s="49"/>
      <c r="K512" s="49"/>
      <c r="L512" s="49"/>
      <c r="M512" s="49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</row>
    <row r="513" spans="2:81" ht="15" customHeight="1" outlineLevel="1">
      <c r="B513" s="250"/>
      <c r="C513" s="53"/>
      <c r="D513" s="47"/>
      <c r="E513" s="47"/>
      <c r="F513" s="47"/>
      <c r="G513" s="47"/>
      <c r="H513" s="47"/>
      <c r="I513" s="49"/>
      <c r="J513" s="49"/>
      <c r="K513" s="49"/>
      <c r="L513" s="49"/>
      <c r="M513" s="49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</row>
    <row r="514" spans="2:81" ht="15" customHeight="1" outlineLevel="1">
      <c r="B514" s="255" t="s">
        <v>318</v>
      </c>
      <c r="C514" s="53"/>
      <c r="D514" s="47"/>
      <c r="E514" s="47"/>
      <c r="F514" s="47"/>
      <c r="G514" s="47"/>
      <c r="H514" s="44"/>
      <c r="I514" s="543">
        <f>H517</f>
        <v>93568</v>
      </c>
      <c r="J514" s="543">
        <f t="shared" ref="J514:M514" si="147">I517</f>
        <v>104636.4274348679</v>
      </c>
      <c r="K514" s="543">
        <f t="shared" si="147"/>
        <v>116483.07120232313</v>
      </c>
      <c r="L514" s="543">
        <f t="shared" si="147"/>
        <v>128913.86674490565</v>
      </c>
      <c r="M514" s="543">
        <f t="shared" si="147"/>
        <v>141911.61071511169</v>
      </c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</row>
    <row r="515" spans="2:81" ht="15" customHeight="1" outlineLevel="1">
      <c r="B515" s="255" t="s">
        <v>342</v>
      </c>
      <c r="C515" s="53"/>
      <c r="D515" s="47"/>
      <c r="E515" s="47"/>
      <c r="F515" s="47"/>
      <c r="G515" s="47"/>
      <c r="H515" s="44"/>
      <c r="I515" s="543">
        <f>-I522*SUM(I14,I18,I19)</f>
        <v>15068.427434867903</v>
      </c>
      <c r="J515" s="543">
        <f>-J522*SUM(J14,J18,J19)</f>
        <v>15846.643767455229</v>
      </c>
      <c r="K515" s="543">
        <f>-K522*SUM(K14,K18,K19)</f>
        <v>16430.795542582528</v>
      </c>
      <c r="L515" s="543">
        <f>-L522*SUM(L14,L18,L19)</f>
        <v>16997.743970206029</v>
      </c>
      <c r="M515" s="543">
        <f>-M522*SUM(M14,M18,M19)</f>
        <v>17569.841931973126</v>
      </c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</row>
    <row r="516" spans="2:81" ht="15" customHeight="1" outlineLevel="1">
      <c r="B516" s="255" t="s">
        <v>343</v>
      </c>
      <c r="C516" s="53"/>
      <c r="E516" s="47"/>
      <c r="F516" s="47"/>
      <c r="G516" s="47"/>
      <c r="H516" s="341"/>
      <c r="I516" s="548">
        <v>-4000</v>
      </c>
      <c r="J516" s="548">
        <v>-4000</v>
      </c>
      <c r="K516" s="548">
        <v>-4000</v>
      </c>
      <c r="L516" s="548">
        <v>-4000</v>
      </c>
      <c r="M516" s="548">
        <v>-4000</v>
      </c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</row>
    <row r="517" spans="2:81" ht="15" customHeight="1" outlineLevel="1">
      <c r="B517" s="255" t="s">
        <v>319</v>
      </c>
      <c r="C517" s="53"/>
      <c r="D517" s="47"/>
      <c r="E517" s="47"/>
      <c r="F517" s="47"/>
      <c r="G517" s="47"/>
      <c r="H517" s="543">
        <f>H124</f>
        <v>93568</v>
      </c>
      <c r="I517" s="543">
        <f>SUM(I514:I516)</f>
        <v>104636.4274348679</v>
      </c>
      <c r="J517" s="543">
        <f t="shared" ref="J517:M517" si="148">SUM(J514:J516)</f>
        <v>116483.07120232313</v>
      </c>
      <c r="K517" s="543">
        <f t="shared" si="148"/>
        <v>128913.86674490565</v>
      </c>
      <c r="L517" s="543">
        <f t="shared" si="148"/>
        <v>141911.61071511169</v>
      </c>
      <c r="M517" s="543">
        <f t="shared" si="148"/>
        <v>155481.45264708481</v>
      </c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</row>
    <row r="518" spans="2:81" ht="15" customHeight="1" outlineLevel="1"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</row>
    <row r="519" spans="2:81" ht="15" customHeight="1" outlineLevel="1"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</row>
    <row r="520" spans="2:81" ht="15" customHeight="1" outlineLevel="1">
      <c r="B520" s="255" t="s">
        <v>345</v>
      </c>
      <c r="C520" s="53"/>
      <c r="D520" s="47"/>
      <c r="E520" s="47"/>
      <c r="F520" s="47"/>
      <c r="G520" s="47"/>
      <c r="H520" s="44"/>
      <c r="I520" s="543">
        <v>-90000</v>
      </c>
      <c r="J520" s="543">
        <v>-90000</v>
      </c>
      <c r="K520" s="543">
        <v>-90000</v>
      </c>
      <c r="L520" s="543">
        <v>-90000</v>
      </c>
      <c r="M520" s="543">
        <v>-90000</v>
      </c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</row>
    <row r="521" spans="2:81" ht="15" customHeight="1" outlineLevel="1">
      <c r="B521" s="255" t="s">
        <v>331</v>
      </c>
      <c r="C521" s="53"/>
      <c r="D521" s="47"/>
      <c r="E521" s="47"/>
      <c r="F521" s="47"/>
      <c r="G521" s="47"/>
      <c r="H521" s="44"/>
      <c r="I521" s="551">
        <v>0.15</v>
      </c>
      <c r="J521" s="551">
        <v>0.15</v>
      </c>
      <c r="K521" s="551">
        <v>0.15</v>
      </c>
      <c r="L521" s="551">
        <v>0.15</v>
      </c>
      <c r="M521" s="551">
        <v>0.15</v>
      </c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</row>
    <row r="522" spans="2:81" ht="15" customHeight="1" outlineLevel="1">
      <c r="B522" s="255" t="s">
        <v>347</v>
      </c>
      <c r="C522" s="53"/>
      <c r="D522" s="47"/>
      <c r="E522" s="47"/>
      <c r="F522" s="47"/>
      <c r="G522" s="47"/>
      <c r="H522" s="555">
        <f>-H58/SUM(H14,H18,H19)</f>
        <v>4.5434476230171203E-2</v>
      </c>
      <c r="I522" s="550">
        <v>0.05</v>
      </c>
      <c r="J522" s="550">
        <v>0.05</v>
      </c>
      <c r="K522" s="550">
        <v>0.05</v>
      </c>
      <c r="L522" s="550">
        <v>0.05</v>
      </c>
      <c r="M522" s="550">
        <v>0.05</v>
      </c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</row>
    <row r="523" spans="2:81" ht="15" customHeight="1" outlineLevel="1">
      <c r="B523" s="255"/>
      <c r="C523" s="53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</row>
    <row r="524" spans="2:81" ht="15" customHeight="1" outlineLevel="1">
      <c r="B524" s="542"/>
      <c r="C524" s="122"/>
      <c r="D524" s="236"/>
      <c r="E524" s="236"/>
      <c r="F524" s="236"/>
      <c r="G524" s="236"/>
      <c r="H524" s="267"/>
      <c r="I524" s="267"/>
      <c r="J524" s="267"/>
      <c r="K524" s="267"/>
      <c r="L524" s="267"/>
      <c r="M524" s="267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</row>
    <row r="525" spans="2:81" ht="15" customHeight="1" outlineLevel="1">
      <c r="B525" s="255"/>
      <c r="C525" s="53"/>
      <c r="D525" s="47"/>
      <c r="E525" s="47"/>
      <c r="F525" s="47"/>
      <c r="G525" s="47"/>
      <c r="H525" s="44"/>
      <c r="I525" s="44"/>
      <c r="J525" s="44"/>
      <c r="K525" s="44"/>
      <c r="L525" s="44"/>
      <c r="M525" s="44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</row>
    <row r="526" spans="2:81" ht="15" customHeight="1" outlineLevel="1"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</row>
    <row r="527" spans="2:81" ht="15" customHeight="1" outlineLevel="1">
      <c r="B527" s="250" t="s">
        <v>332</v>
      </c>
      <c r="C527" s="53"/>
      <c r="D527" s="47"/>
      <c r="E527" s="47"/>
      <c r="F527" s="47"/>
      <c r="G527" s="47"/>
      <c r="H527" s="47"/>
      <c r="I527" s="49"/>
      <c r="J527" s="49"/>
      <c r="K527" s="49"/>
      <c r="L527" s="49"/>
      <c r="M527" s="49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</row>
    <row r="528" spans="2:81" ht="15" customHeight="1" outlineLevel="1">
      <c r="B528" s="250"/>
      <c r="C528" s="53"/>
      <c r="D528" s="47"/>
      <c r="E528" s="47"/>
      <c r="F528" s="47"/>
      <c r="G528" s="47"/>
      <c r="H528" s="47"/>
      <c r="I528" s="49"/>
      <c r="J528" s="49"/>
      <c r="K528" s="49"/>
      <c r="L528" s="49"/>
      <c r="M528" s="49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</row>
    <row r="529" spans="1:81" ht="15" customHeight="1" outlineLevel="1">
      <c r="B529" s="255" t="s">
        <v>318</v>
      </c>
      <c r="C529" s="53"/>
      <c r="D529" s="47"/>
      <c r="E529" s="47"/>
      <c r="F529" s="47"/>
      <c r="G529" s="47"/>
      <c r="H529" s="44"/>
      <c r="I529" s="543">
        <f>H533</f>
        <v>-14264</v>
      </c>
      <c r="J529" s="543">
        <f t="shared" ref="J529:M529" ca="1" si="149">I533</f>
        <v>-5493.7958725637727</v>
      </c>
      <c r="K529" s="543">
        <f t="shared" ca="1" si="149"/>
        <v>7683.8751800042519</v>
      </c>
      <c r="L529" s="543">
        <f t="shared" ca="1" si="149"/>
        <v>23941.118915688814</v>
      </c>
      <c r="M529" s="543">
        <f t="shared" ca="1" si="149"/>
        <v>41947.808473240526</v>
      </c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</row>
    <row r="530" spans="1:81" ht="15" customHeight="1" outlineLevel="1">
      <c r="B530" s="255" t="s">
        <v>144</v>
      </c>
      <c r="C530" s="53"/>
      <c r="D530" s="47"/>
      <c r="E530" s="47"/>
      <c r="F530" s="47"/>
      <c r="G530" s="47"/>
      <c r="H530" s="44"/>
      <c r="I530" s="543">
        <f ca="1">I35</f>
        <v>116200.24014992497</v>
      </c>
      <c r="J530" s="543">
        <f ca="1">J35</f>
        <v>121385.49535596238</v>
      </c>
      <c r="K530" s="543">
        <f ca="1">K35</f>
        <v>125008.52204198182</v>
      </c>
      <c r="L530" s="543">
        <f ca="1">L35</f>
        <v>127066.69359711965</v>
      </c>
      <c r="M530" s="543">
        <f ca="1">M35</f>
        <v>129460.08297499905</v>
      </c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</row>
    <row r="531" spans="1:81" ht="15" customHeight="1" outlineLevel="1">
      <c r="B531" s="255" t="s">
        <v>282</v>
      </c>
      <c r="C531" s="53"/>
      <c r="D531" s="47"/>
      <c r="E531" s="47"/>
      <c r="F531" s="47"/>
      <c r="G531" s="47"/>
      <c r="H531" s="44"/>
      <c r="I531" s="543">
        <f ca="1">-(I530*I521)</f>
        <v>-17430.036022488744</v>
      </c>
      <c r="J531" s="543">
        <f ca="1">-(J530*J521)</f>
        <v>-18207.824303394358</v>
      </c>
      <c r="K531" s="543">
        <f ca="1">-(K530*K521)</f>
        <v>-18751.278306297274</v>
      </c>
      <c r="L531" s="543">
        <f ca="1">-(L530*L521)</f>
        <v>-19060.004039567946</v>
      </c>
      <c r="M531" s="543">
        <f ca="1">-(M530*M521)</f>
        <v>-19419.012446249857</v>
      </c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</row>
    <row r="532" spans="1:81" ht="15" customHeight="1" outlineLevel="1">
      <c r="B532" s="255" t="s">
        <v>344</v>
      </c>
      <c r="D532" s="47"/>
      <c r="E532" s="47"/>
      <c r="F532" s="47"/>
      <c r="G532" s="47"/>
      <c r="H532" s="341"/>
      <c r="I532" s="549">
        <f>I520</f>
        <v>-90000</v>
      </c>
      <c r="J532" s="549">
        <f t="shared" ref="J532:M532" si="150">J520</f>
        <v>-90000</v>
      </c>
      <c r="K532" s="549">
        <f t="shared" si="150"/>
        <v>-90000</v>
      </c>
      <c r="L532" s="549">
        <f t="shared" si="150"/>
        <v>-90000</v>
      </c>
      <c r="M532" s="549">
        <f t="shared" si="150"/>
        <v>-90000</v>
      </c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</row>
    <row r="533" spans="1:81" ht="15" customHeight="1" outlineLevel="1">
      <c r="B533" s="255" t="s">
        <v>319</v>
      </c>
      <c r="C533" s="53"/>
      <c r="D533" s="47"/>
      <c r="E533" s="47"/>
      <c r="F533" s="47"/>
      <c r="G533" s="47"/>
      <c r="H533" s="543">
        <f>H126</f>
        <v>-14264</v>
      </c>
      <c r="I533" s="543">
        <f ca="1">SUM(I529:I532)</f>
        <v>-5493.7958725637727</v>
      </c>
      <c r="J533" s="543">
        <f t="shared" ref="J533:M533" ca="1" si="151">SUM(J529:J532)</f>
        <v>7683.8751800042519</v>
      </c>
      <c r="K533" s="543">
        <f t="shared" ca="1" si="151"/>
        <v>23941.118915688814</v>
      </c>
      <c r="L533" s="543">
        <f t="shared" ca="1" si="151"/>
        <v>41947.808473240526</v>
      </c>
      <c r="M533" s="543">
        <f t="shared" ca="1" si="151"/>
        <v>61988.879001989699</v>
      </c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</row>
    <row r="534" spans="1:81" ht="15" customHeight="1" outlineLevel="1"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</row>
    <row r="535" spans="1:81" ht="15" customHeight="1" outlineLevel="1">
      <c r="A535" s="46"/>
      <c r="B535" s="237"/>
      <c r="C535" s="122"/>
      <c r="D535" s="236"/>
      <c r="E535" s="236"/>
      <c r="F535" s="236"/>
      <c r="G535" s="236"/>
      <c r="H535" s="236"/>
      <c r="I535" s="235"/>
      <c r="J535" s="235"/>
      <c r="K535" s="235"/>
      <c r="L535" s="235"/>
      <c r="M535" s="235" t="s">
        <v>0</v>
      </c>
      <c r="N535" s="25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</row>
    <row r="536" spans="1:81" ht="15" customHeight="1" outlineLevel="1"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</row>
    <row r="537" spans="1:81" ht="15" customHeight="1" outlineLevel="1"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</row>
    <row r="538" spans="1:81" ht="15" customHeight="1"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</row>
    <row r="539" spans="1:81" ht="15" customHeight="1"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</row>
    <row r="540" spans="1:81" ht="15" customHeight="1"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</row>
    <row r="541" spans="1:81" ht="15" customHeight="1"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</row>
    <row r="542" spans="1:81" ht="15" customHeight="1"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</row>
    <row r="543" spans="1:81" ht="15" customHeight="1"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</row>
    <row r="544" spans="1:81" ht="15" customHeight="1"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</row>
    <row r="545" spans="17:81" ht="15" customHeight="1"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</row>
    <row r="546" spans="17:81" ht="15" customHeight="1"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</row>
    <row r="547" spans="17:81" ht="15" customHeight="1"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</row>
    <row r="548" spans="17:81" ht="15" customHeight="1"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</row>
    <row r="549" spans="17:81" ht="15" customHeight="1"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</row>
    <row r="550" spans="17:81" ht="15" customHeight="1"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</row>
    <row r="551" spans="17:81" ht="15" customHeight="1"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</row>
    <row r="552" spans="17:81" ht="15" customHeight="1"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</row>
    <row r="553" spans="17:81" ht="15" customHeight="1"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</row>
    <row r="554" spans="17:81" ht="15" customHeight="1"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</row>
    <row r="555" spans="17:81" ht="15" customHeight="1"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</row>
    <row r="556" spans="17:81" ht="15" customHeight="1"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</row>
    <row r="557" spans="17:81" ht="15" customHeight="1"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</row>
    <row r="558" spans="17:81" ht="15" customHeight="1"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</row>
    <row r="559" spans="17:81" ht="15" customHeight="1"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</row>
    <row r="560" spans="17:81" ht="15" customHeight="1"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</row>
    <row r="561" spans="17:81" ht="15" customHeight="1"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</row>
    <row r="562" spans="17:81" ht="15" customHeight="1"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</row>
    <row r="563" spans="17:81" ht="15" customHeight="1"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</row>
  </sheetData>
  <mergeCells count="1">
    <mergeCell ref="B1:D1"/>
  </mergeCells>
  <conditionalFormatting sqref="D366">
    <cfRule type="expression" dxfId="4" priority="3">
      <formula>$D$366=1</formula>
    </cfRule>
  </conditionalFormatting>
  <conditionalFormatting sqref="D408">
    <cfRule type="expression" dxfId="3" priority="2">
      <formula>$D$408=1</formula>
    </cfRule>
  </conditionalFormatting>
  <conditionalFormatting sqref="I179:N179">
    <cfRule type="expression" dxfId="2" priority="4">
      <formula>I$179=1</formula>
    </cfRule>
  </conditionalFormatting>
  <conditionalFormatting sqref="AI427:AK427 AL428:AN428">
    <cfRule type="expression" dxfId="1" priority="1">
      <formula>AI427=1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ignoredErrors>
    <ignoredError sqref="G60" 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030C-D708-4EA6-A476-804A4466DBFB}">
  <sheetPr>
    <pageSetUpPr autoPageBreaks="0"/>
  </sheetPr>
  <dimension ref="A1:AA453"/>
  <sheetViews>
    <sheetView showGridLines="0" zoomScaleNormal="100" zoomScaleSheetLayoutView="140" workbookViewId="0">
      <pane ySplit="1" topLeftCell="A2" activePane="bottomLeft" state="frozen"/>
      <selection activeCell="A3" sqref="A3"/>
      <selection pane="bottomLeft"/>
    </sheetView>
  </sheetViews>
  <sheetFormatPr defaultColWidth="9.140625" defaultRowHeight="15" customHeight="1" outlineLevelRow="1"/>
  <cols>
    <col min="1" max="1" width="9.140625" style="27"/>
    <col min="2" max="2" width="35.42578125" style="27" bestFit="1" customWidth="1"/>
    <col min="3" max="3" width="11.28515625" style="27" customWidth="1"/>
    <col min="4" max="4" width="15.7109375" style="27" customWidth="1"/>
    <col min="5" max="5" width="1.7109375" style="27" customWidth="1"/>
    <col min="6" max="6" width="11.7109375" style="27" customWidth="1"/>
    <col min="7" max="14" width="10.28515625" style="27" customWidth="1"/>
    <col min="15" max="15" width="1.7109375" style="27" customWidth="1"/>
    <col min="16" max="16384" width="9.140625" style="27"/>
  </cols>
  <sheetData>
    <row r="1" spans="1:17" ht="50.1" customHeight="1">
      <c r="A1" s="37"/>
      <c r="B1" s="577" t="s">
        <v>363</v>
      </c>
      <c r="C1" s="578"/>
      <c r="D1" s="507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7" ht="15" customHeight="1">
      <c r="A2" s="58"/>
      <c r="B2" s="506"/>
      <c r="C2" s="505"/>
      <c r="D2" s="504"/>
      <c r="E2" s="504"/>
      <c r="F2" s="503"/>
      <c r="G2" s="503"/>
      <c r="H2" s="503"/>
      <c r="I2" s="503"/>
      <c r="J2" s="503"/>
      <c r="K2" s="503"/>
      <c r="L2" s="503"/>
      <c r="M2" s="503"/>
      <c r="N2" s="503"/>
      <c r="O2" s="34"/>
    </row>
    <row r="3" spans="1:17" ht="15" customHeight="1">
      <c r="A3" s="46" t="s">
        <v>0</v>
      </c>
      <c r="B3" s="57" t="s">
        <v>155</v>
      </c>
      <c r="C3" s="56"/>
      <c r="D3" s="55"/>
      <c r="E3" s="55"/>
      <c r="F3" s="54"/>
      <c r="G3" s="54"/>
      <c r="H3" s="54"/>
      <c r="I3" s="54"/>
      <c r="J3" s="54"/>
      <c r="K3" s="54"/>
      <c r="L3" s="54"/>
      <c r="M3" s="54"/>
      <c r="N3" s="302"/>
      <c r="O3" s="34"/>
      <c r="P3" s="46"/>
      <c r="Q3" s="46"/>
    </row>
    <row r="4" spans="1:17" ht="15" hidden="1" customHeight="1" outlineLevel="1">
      <c r="A4" s="46"/>
      <c r="B4" s="183"/>
      <c r="C4" s="53"/>
      <c r="D4" s="52"/>
      <c r="E4" s="52"/>
      <c r="F4" s="51"/>
      <c r="G4" s="51"/>
      <c r="H4" s="51"/>
      <c r="I4" s="51"/>
      <c r="J4" s="51"/>
      <c r="K4" s="51"/>
      <c r="L4" s="51"/>
      <c r="M4" s="51"/>
      <c r="N4" s="51"/>
      <c r="O4" s="276"/>
      <c r="P4" s="46"/>
      <c r="Q4" s="46"/>
    </row>
    <row r="5" spans="1:17" ht="15" hidden="1" customHeight="1" outlineLevel="1" thickBot="1">
      <c r="A5" s="46"/>
      <c r="B5" s="43" t="s">
        <v>263</v>
      </c>
      <c r="C5" s="53"/>
      <c r="D5" s="47"/>
      <c r="E5" s="47"/>
      <c r="F5" s="51"/>
      <c r="G5" s="51"/>
      <c r="H5" s="51"/>
      <c r="I5" s="234">
        <f>Model!I5:N5</f>
        <v>2026</v>
      </c>
      <c r="J5" s="234">
        <f>Model!J5:O5</f>
        <v>2027</v>
      </c>
      <c r="K5" s="234">
        <f>Model!K5:P5</f>
        <v>2028</v>
      </c>
      <c r="L5" s="234">
        <f>Model!L5:Q5</f>
        <v>2029</v>
      </c>
      <c r="M5" s="234">
        <f>Model!M5:R5</f>
        <v>2030</v>
      </c>
      <c r="N5" s="234" t="str">
        <f>Model!N5:S5</f>
        <v>Term</v>
      </c>
      <c r="O5" s="46"/>
      <c r="P5" s="46"/>
      <c r="Q5" s="46"/>
    </row>
    <row r="6" spans="1:17" ht="15" hidden="1" customHeight="1" outlineLevel="1">
      <c r="A6" s="37"/>
      <c r="B6" s="43" t="str">
        <f>Model!$B$6</f>
        <v>Model Running: Base Case Drivers</v>
      </c>
      <c r="C6" s="53"/>
      <c r="D6" s="47"/>
      <c r="E6" s="47"/>
      <c r="F6" s="47"/>
      <c r="G6" s="47"/>
      <c r="H6" s="47"/>
      <c r="I6" s="49"/>
      <c r="J6" s="49"/>
      <c r="K6" s="49"/>
      <c r="L6" s="49"/>
      <c r="M6" s="49"/>
      <c r="N6" s="49"/>
    </row>
    <row r="7" spans="1:17" ht="15" hidden="1" customHeight="1" outlineLevel="1">
      <c r="A7" s="46"/>
      <c r="B7" s="43"/>
      <c r="C7" s="53"/>
      <c r="D7" s="47"/>
      <c r="E7" s="47"/>
      <c r="F7" s="47"/>
      <c r="G7" s="47"/>
      <c r="H7" s="47"/>
      <c r="I7" s="336"/>
      <c r="J7" s="336"/>
      <c r="K7" s="336"/>
      <c r="L7" s="336"/>
      <c r="M7" s="336"/>
      <c r="N7" s="336"/>
      <c r="O7" s="46"/>
      <c r="P7" s="46"/>
      <c r="Q7" s="46"/>
    </row>
    <row r="8" spans="1:17" s="37" customFormat="1" ht="15" hidden="1" customHeight="1" outlineLevel="1">
      <c r="A8" s="46"/>
      <c r="B8" s="250" t="s">
        <v>154</v>
      </c>
      <c r="C8" s="53"/>
      <c r="D8" s="47"/>
      <c r="E8" s="250"/>
      <c r="F8" s="250" t="s">
        <v>153</v>
      </c>
      <c r="G8" s="335" t="s">
        <v>103</v>
      </c>
      <c r="H8" s="47"/>
      <c r="I8" s="49"/>
      <c r="J8" s="49"/>
      <c r="K8" s="49"/>
      <c r="L8" s="49"/>
      <c r="M8" s="49"/>
      <c r="N8" s="49"/>
      <c r="O8" s="46"/>
      <c r="P8" s="46"/>
      <c r="Q8" s="46"/>
    </row>
    <row r="9" spans="1:17" ht="15" hidden="1" customHeight="1" outlineLevel="1">
      <c r="A9" s="46"/>
      <c r="B9" s="255" t="s">
        <v>152</v>
      </c>
      <c r="C9" s="53"/>
      <c r="D9" s="47"/>
      <c r="E9" s="47"/>
      <c r="F9" s="334" t="s">
        <v>151</v>
      </c>
      <c r="G9" s="247">
        <f>Model!N23</f>
        <v>158527.97407258677</v>
      </c>
      <c r="H9" s="134"/>
      <c r="I9" s="44">
        <f>Model!I431</f>
        <v>25662.771390170637</v>
      </c>
      <c r="J9" s="44">
        <f>Model!J431</f>
        <v>26596.13693829731</v>
      </c>
      <c r="K9" s="44">
        <f>Model!K431</f>
        <v>27124.835939830085</v>
      </c>
      <c r="L9" s="44">
        <f>Model!L431</f>
        <v>27269.058141587833</v>
      </c>
      <c r="M9" s="44">
        <f>Model!M431</f>
        <v>27450.666290909536</v>
      </c>
      <c r="N9" s="281">
        <f>G9*$G$11</f>
        <v>28693.563307138204</v>
      </c>
      <c r="O9" s="46"/>
      <c r="P9" s="46"/>
      <c r="Q9" s="46"/>
    </row>
    <row r="10" spans="1:17" ht="15" hidden="1" customHeight="1" outlineLevel="1">
      <c r="A10" s="46"/>
      <c r="B10" s="255" t="s">
        <v>150</v>
      </c>
      <c r="C10" s="53"/>
      <c r="D10" s="47"/>
      <c r="E10" s="47"/>
      <c r="F10" s="333" t="s">
        <v>149</v>
      </c>
      <c r="G10" s="309">
        <f ca="1">Model!N29</f>
        <v>161192.23278999189</v>
      </c>
      <c r="H10" s="134"/>
      <c r="I10" s="44">
        <f ca="1">Model!I389</f>
        <v>25282.103936625666</v>
      </c>
      <c r="J10" s="44">
        <f ca="1">Model!J389</f>
        <v>26351.255954077158</v>
      </c>
      <c r="K10" s="44">
        <f ca="1">Model!K389</f>
        <v>27071.792132550316</v>
      </c>
      <c r="L10" s="44">
        <f ca="1">Model!L389</f>
        <v>27443.131987837187</v>
      </c>
      <c r="M10" s="44">
        <f ca="1">Model!M389</f>
        <v>27884.935391251314</v>
      </c>
      <c r="N10" s="328">
        <f ca="1">G10*$G$11</f>
        <v>29175.79413498853</v>
      </c>
      <c r="O10" s="46"/>
      <c r="P10" s="46"/>
      <c r="Q10" s="46"/>
    </row>
    <row r="11" spans="1:17" ht="15" hidden="1" customHeight="1" outlineLevel="1">
      <c r="A11" s="46"/>
      <c r="B11" s="255" t="s">
        <v>148</v>
      </c>
      <c r="C11" s="52"/>
      <c r="D11" s="254"/>
      <c r="E11" s="254"/>
      <c r="F11" s="332" t="s">
        <v>64</v>
      </c>
      <c r="G11" s="456">
        <f>Model!$C$11</f>
        <v>0.18099999999999999</v>
      </c>
      <c r="H11" s="134"/>
      <c r="I11" s="282">
        <f t="shared" ref="I11:N11" ca="1" si="0">I9-I10</f>
        <v>380.66745354497107</v>
      </c>
      <c r="J11" s="282">
        <f t="shared" ca="1" si="0"/>
        <v>244.88098422015173</v>
      </c>
      <c r="K11" s="282">
        <f t="shared" ca="1" si="0"/>
        <v>53.04380727976968</v>
      </c>
      <c r="L11" s="282">
        <f t="shared" ca="1" si="0"/>
        <v>-174.07384624935366</v>
      </c>
      <c r="M11" s="282">
        <f t="shared" ca="1" si="0"/>
        <v>-434.26910034177854</v>
      </c>
      <c r="N11" s="312">
        <f t="shared" ca="1" si="0"/>
        <v>-482.23082785032602</v>
      </c>
      <c r="O11" s="46"/>
      <c r="P11" s="46"/>
      <c r="Q11" s="46"/>
    </row>
    <row r="12" spans="1:17" s="37" customFormat="1" ht="15" hidden="1" customHeight="1" outlineLevel="1">
      <c r="A12" s="46"/>
      <c r="B12" s="43"/>
      <c r="C12" s="53"/>
      <c r="D12" s="47"/>
      <c r="E12" s="47"/>
      <c r="F12" s="266"/>
      <c r="G12" s="266"/>
      <c r="H12" s="266"/>
      <c r="I12" s="330"/>
      <c r="J12" s="330"/>
      <c r="K12" s="330"/>
      <c r="L12" s="330"/>
      <c r="M12" s="330"/>
      <c r="N12" s="330"/>
      <c r="O12" s="46"/>
      <c r="P12" s="46"/>
      <c r="Q12" s="46"/>
    </row>
    <row r="13" spans="1:17" s="37" customFormat="1" ht="15" hidden="1" customHeight="1" outlineLevel="1">
      <c r="A13" s="46"/>
      <c r="B13" s="43"/>
      <c r="C13" s="53"/>
      <c r="D13" s="47"/>
      <c r="E13" s="47"/>
      <c r="F13" s="47"/>
      <c r="G13" s="47"/>
      <c r="H13" s="47"/>
      <c r="I13" s="49"/>
      <c r="J13" s="49"/>
      <c r="K13" s="49"/>
      <c r="L13" s="49"/>
      <c r="M13" s="49"/>
      <c r="N13" s="49"/>
      <c r="O13" s="46"/>
      <c r="P13" s="46"/>
      <c r="Q13" s="46"/>
    </row>
    <row r="14" spans="1:17" ht="15" hidden="1" customHeight="1" outlineLevel="1">
      <c r="A14" s="46"/>
      <c r="B14" s="237"/>
      <c r="C14" s="122"/>
      <c r="D14" s="236"/>
      <c r="E14" s="236"/>
      <c r="F14" s="236"/>
      <c r="G14" s="236"/>
      <c r="H14" s="236"/>
      <c r="I14" s="235"/>
      <c r="J14" s="235"/>
      <c r="K14" s="235"/>
      <c r="L14" s="235"/>
      <c r="M14" s="235"/>
      <c r="N14" s="235"/>
      <c r="O14" s="46"/>
      <c r="P14" s="46"/>
      <c r="Q14" s="46"/>
    </row>
    <row r="15" spans="1:17" ht="15" hidden="1" customHeight="1" outlineLevel="1">
      <c r="A15" s="46"/>
      <c r="B15" s="43"/>
      <c r="C15" s="53"/>
      <c r="D15" s="47"/>
      <c r="E15" s="47"/>
      <c r="F15" s="47"/>
      <c r="G15" s="47"/>
      <c r="H15" s="47"/>
      <c r="I15" s="49"/>
      <c r="J15" s="49"/>
      <c r="K15" s="49"/>
      <c r="L15" s="49"/>
      <c r="M15" s="49"/>
      <c r="N15" s="49"/>
      <c r="O15" s="46"/>
      <c r="P15" s="46"/>
      <c r="Q15" s="46"/>
    </row>
    <row r="16" spans="1:17" ht="15" hidden="1" customHeight="1" outlineLevel="1">
      <c r="A16" s="46"/>
      <c r="B16" s="250" t="s">
        <v>147</v>
      </c>
      <c r="C16" s="46"/>
      <c r="D16" s="329"/>
      <c r="E16" s="47"/>
      <c r="F16" s="47"/>
      <c r="G16" s="47"/>
      <c r="H16" s="47"/>
      <c r="I16" s="46"/>
      <c r="J16" s="46"/>
      <c r="K16" s="46"/>
      <c r="L16" s="46"/>
      <c r="M16" s="46"/>
      <c r="N16" s="46"/>
      <c r="O16" s="46"/>
      <c r="P16" s="46"/>
      <c r="Q16" s="46"/>
    </row>
    <row r="17" spans="1:27" s="37" customFormat="1" ht="15" hidden="1" customHeight="1" outlineLevel="1">
      <c r="A17" s="46"/>
      <c r="B17" s="255" t="s">
        <v>128</v>
      </c>
      <c r="C17" s="53"/>
      <c r="D17" s="47"/>
      <c r="E17" s="47"/>
      <c r="F17" s="27"/>
      <c r="G17" s="134"/>
      <c r="H17" s="134"/>
      <c r="I17" s="44">
        <f>Model!I23+(-Model!I22)</f>
        <v>154986.28449186619</v>
      </c>
      <c r="J17" s="44">
        <f>Model!J23+(-Model!J22)</f>
        <v>162688.71451308695</v>
      </c>
      <c r="K17" s="44">
        <f>Model!K23+(-Model!K22)</f>
        <v>168266.84632897444</v>
      </c>
      <c r="L17" s="44">
        <f>Model!L23+(-Model!L22)</f>
        <v>171832.22550206381</v>
      </c>
      <c r="M17" s="44">
        <f>Model!M23+(-Model!M22)</f>
        <v>175724.1568716391</v>
      </c>
      <c r="N17" s="281">
        <f>Model!N23+(-Model!N22)</f>
        <v>177027.97407258677</v>
      </c>
      <c r="O17" s="46"/>
      <c r="P17" s="46"/>
      <c r="Q17" s="46"/>
    </row>
    <row r="18" spans="1:27" s="37" customFormat="1" ht="15" hidden="1" customHeight="1" outlineLevel="1">
      <c r="A18" s="46"/>
      <c r="B18" s="255" t="s">
        <v>146</v>
      </c>
      <c r="C18" s="53"/>
      <c r="D18" s="47"/>
      <c r="E18" s="47"/>
      <c r="F18" s="27"/>
      <c r="G18" s="134"/>
      <c r="H18" s="134"/>
      <c r="I18" s="44">
        <f>-I9</f>
        <v>-25662.771390170637</v>
      </c>
      <c r="J18" s="44">
        <f t="shared" ref="J18:N18" si="1">-J9</f>
        <v>-26596.13693829731</v>
      </c>
      <c r="K18" s="44">
        <f t="shared" si="1"/>
        <v>-27124.835939830085</v>
      </c>
      <c r="L18" s="44">
        <f t="shared" si="1"/>
        <v>-27269.058141587833</v>
      </c>
      <c r="M18" s="44">
        <f t="shared" si="1"/>
        <v>-27450.666290909536</v>
      </c>
      <c r="N18" s="328">
        <f t="shared" si="1"/>
        <v>-28693.563307138204</v>
      </c>
      <c r="O18" s="46"/>
      <c r="P18" s="46"/>
      <c r="Q18" s="46"/>
    </row>
    <row r="19" spans="1:27" ht="15" hidden="1" customHeight="1" outlineLevel="1">
      <c r="A19" s="46"/>
      <c r="B19" s="255" t="s">
        <v>99</v>
      </c>
      <c r="C19" s="53"/>
      <c r="D19" s="47"/>
      <c r="E19" s="47"/>
      <c r="F19" s="134"/>
      <c r="G19" s="134"/>
      <c r="H19" s="134"/>
      <c r="I19" s="44">
        <f>-Inputs!G24</f>
        <v>-14500</v>
      </c>
      <c r="J19" s="44">
        <f>-Inputs!H24</f>
        <v>-15200</v>
      </c>
      <c r="K19" s="44">
        <f>-Inputs!I24</f>
        <v>-15800</v>
      </c>
      <c r="L19" s="44">
        <f>-Inputs!J24</f>
        <v>-16500</v>
      </c>
      <c r="M19" s="44">
        <f>-Inputs!K24</f>
        <v>-17200</v>
      </c>
      <c r="N19" s="328">
        <f>-Inputs!L24</f>
        <v>-18500</v>
      </c>
      <c r="O19" s="46"/>
      <c r="P19" s="46"/>
      <c r="Q19" s="46"/>
    </row>
    <row r="20" spans="1:27" ht="15" hidden="1" customHeight="1" outlineLevel="1">
      <c r="A20" s="46"/>
      <c r="B20" s="255" t="s">
        <v>139</v>
      </c>
      <c r="C20" s="53"/>
      <c r="D20" s="47"/>
      <c r="E20" s="47"/>
      <c r="F20" s="134"/>
      <c r="G20" s="134"/>
      <c r="H20" s="134"/>
      <c r="I20" s="44">
        <f>Model!I274</f>
        <v>-2462.6194556844603</v>
      </c>
      <c r="J20" s="44">
        <f>Model!J274</f>
        <v>280.44196520620972</v>
      </c>
      <c r="K20" s="44">
        <f>Model!K274</f>
        <v>393.17627542409537</v>
      </c>
      <c r="L20" s="44">
        <f>Model!L274</f>
        <v>788.19706541462074</v>
      </c>
      <c r="M20" s="44">
        <f>Model!M274</f>
        <v>749.31048959098553</v>
      </c>
      <c r="N20" s="328">
        <f>Model!N274</f>
        <v>337.88611761368702</v>
      </c>
      <c r="O20" s="46"/>
      <c r="P20" s="46"/>
      <c r="Q20" s="46"/>
    </row>
    <row r="21" spans="1:27" ht="15" hidden="1" customHeight="1" outlineLevel="1" thickBot="1">
      <c r="B21" s="255" t="s">
        <v>129</v>
      </c>
      <c r="C21" s="52"/>
      <c r="D21" s="254"/>
      <c r="E21" s="254"/>
      <c r="F21" s="134"/>
      <c r="G21" s="134"/>
      <c r="H21" s="134"/>
      <c r="I21" s="327">
        <f>SUM(I17:I20)</f>
        <v>112360.89364601109</v>
      </c>
      <c r="J21" s="327">
        <f t="shared" ref="J21:N21" si="2">SUM(J17:J20)</f>
        <v>121173.01953999585</v>
      </c>
      <c r="K21" s="327">
        <f t="shared" si="2"/>
        <v>125735.18666456845</v>
      </c>
      <c r="L21" s="327">
        <f t="shared" si="2"/>
        <v>128851.36442589061</v>
      </c>
      <c r="M21" s="327">
        <f t="shared" si="2"/>
        <v>131822.80107032054</v>
      </c>
      <c r="N21" s="326">
        <f t="shared" si="2"/>
        <v>130172.29688306227</v>
      </c>
    </row>
    <row r="22" spans="1:27" ht="15" hidden="1" customHeight="1" outlineLevel="1">
      <c r="N22" s="29"/>
    </row>
    <row r="23" spans="1:27" s="37" customFormat="1" ht="15" hidden="1" customHeight="1" outlineLevel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1:27" s="37" customFormat="1" ht="15" hidden="1" customHeight="1" outlineLevel="1">
      <c r="A24" s="46"/>
      <c r="B24" s="250" t="s">
        <v>145</v>
      </c>
      <c r="C24" s="46"/>
      <c r="D24" s="329"/>
      <c r="E24" s="47"/>
      <c r="F24" s="47"/>
      <c r="G24" s="47"/>
      <c r="H24" s="47"/>
      <c r="I24" s="46"/>
      <c r="J24" s="46"/>
      <c r="K24" s="46"/>
      <c r="L24" s="46"/>
      <c r="M24" s="46"/>
      <c r="N24" s="280"/>
      <c r="O24" s="46"/>
      <c r="P24" s="46"/>
      <c r="Q24" s="27"/>
    </row>
    <row r="25" spans="1:27" ht="15" hidden="1" customHeight="1" outlineLevel="1">
      <c r="A25" s="46"/>
      <c r="B25" s="255" t="s">
        <v>144</v>
      </c>
      <c r="C25" s="53"/>
      <c r="D25" s="47"/>
      <c r="E25" s="47"/>
      <c r="F25" s="134"/>
      <c r="G25" s="134"/>
      <c r="H25" s="134"/>
      <c r="I25" s="44">
        <f ca="1">Model!I35</f>
        <v>116200.24014992497</v>
      </c>
      <c r="J25" s="44">
        <f ca="1">Model!J35</f>
        <v>121385.49535596238</v>
      </c>
      <c r="K25" s="44">
        <f ca="1">Model!K35</f>
        <v>125008.52204198182</v>
      </c>
      <c r="L25" s="44">
        <f ca="1">Model!L35</f>
        <v>127066.69359711965</v>
      </c>
      <c r="M25" s="44">
        <f ca="1">Model!M35</f>
        <v>129460.08297499905</v>
      </c>
      <c r="N25" s="281">
        <f ca="1">Model!N35</f>
        <v>132016.43865500335</v>
      </c>
      <c r="O25" s="46"/>
      <c r="P25" s="46"/>
    </row>
    <row r="26" spans="1:27" ht="15" hidden="1" customHeight="1" outlineLevel="1">
      <c r="A26" s="46"/>
      <c r="B26" s="255" t="s">
        <v>143</v>
      </c>
      <c r="C26" s="53"/>
      <c r="D26" s="47"/>
      <c r="E26" s="47"/>
      <c r="F26" s="134"/>
      <c r="G26" s="134"/>
      <c r="H26" s="134"/>
      <c r="I26" s="44">
        <f>-Model!I22</f>
        <v>11002.514285714286</v>
      </c>
      <c r="J26" s="44">
        <f>-Model!J22</f>
        <v>13123.942857142856</v>
      </c>
      <c r="K26" s="44">
        <f>-Model!K22</f>
        <v>15338.228571428572</v>
      </c>
      <c r="L26" s="44">
        <f>-Model!L22</f>
        <v>17645.371428571427</v>
      </c>
      <c r="M26" s="44">
        <f>-Model!M22</f>
        <v>20052.514285714286</v>
      </c>
      <c r="N26" s="328">
        <f>-Model!N22</f>
        <v>18500</v>
      </c>
      <c r="O26" s="46"/>
      <c r="P26" s="46"/>
      <c r="Z26" s="250" t="s">
        <v>145</v>
      </c>
      <c r="AA26" s="46"/>
    </row>
    <row r="27" spans="1:27" ht="15" hidden="1" customHeight="1" outlineLevel="1">
      <c r="A27" s="46"/>
      <c r="B27" s="255" t="s">
        <v>142</v>
      </c>
      <c r="C27" s="53"/>
      <c r="D27" s="47"/>
      <c r="E27" s="47"/>
      <c r="F27" s="134"/>
      <c r="G27" s="134"/>
      <c r="H27" s="134"/>
      <c r="I27" s="44">
        <f ca="1">-Model!I32</f>
        <v>398.29101714285571</v>
      </c>
      <c r="J27" s="44">
        <f ca="1">-Model!J32</f>
        <v>475.08673142857151</v>
      </c>
      <c r="K27" s="44">
        <f ca="1">-Model!K32</f>
        <v>555.24387428571572</v>
      </c>
      <c r="L27" s="44">
        <f ca="1">-Model!L32</f>
        <v>638.76244571428469</v>
      </c>
      <c r="M27" s="44">
        <f ca="1">-Model!M32</f>
        <v>725.90101714285629</v>
      </c>
      <c r="N27" s="328">
        <f>-Model!N32</f>
        <v>0</v>
      </c>
      <c r="O27" s="46"/>
      <c r="P27" s="46"/>
      <c r="Z27" s="255" t="s">
        <v>144</v>
      </c>
      <c r="AA27" s="53"/>
    </row>
    <row r="28" spans="1:27" ht="15" hidden="1" customHeight="1" outlineLevel="1">
      <c r="A28" s="46"/>
      <c r="B28" s="255" t="s">
        <v>356</v>
      </c>
      <c r="C28" s="53" t="s">
        <v>313</v>
      </c>
      <c r="D28" s="47"/>
      <c r="E28" s="47"/>
      <c r="F28" s="134"/>
      <c r="G28" s="134"/>
      <c r="H28" s="134"/>
      <c r="I28" s="44">
        <f ca="1">((-Model!I27)-Model!I28-Model!I26)*(1-DCF!$G$11)</f>
        <v>1722.4676489134386</v>
      </c>
      <c r="J28" s="44">
        <f ca="1">((-Model!J27)-Model!J28-Model!J26)*(1-DCF!$G$11)</f>
        <v>1108.0526302558194</v>
      </c>
      <c r="K28" s="44">
        <f ca="1">((-Model!K27)-Model!K28-Model!K26)*(1-DCF!$G$11)</f>
        <v>240.01590144826349</v>
      </c>
      <c r="L28" s="44">
        <f ca="1">((-Model!L27)-Model!L28-Model!L26)*(1-DCF!$G$11)</f>
        <v>-787.66011092941017</v>
      </c>
      <c r="M28" s="44">
        <f ca="1">((-Model!M27)-Model!M28-Model!M26)*(1-DCF!$G$11)</f>
        <v>-1965.0076971266242</v>
      </c>
      <c r="N28" s="328">
        <f ca="1">((-Model!N27)-Model!N28-Model!N26)*(1-DCF!$G$11)</f>
        <v>-2182.027889554789</v>
      </c>
      <c r="O28" s="46"/>
      <c r="P28" s="46"/>
      <c r="Z28" s="255" t="s">
        <v>143</v>
      </c>
      <c r="AA28" s="53"/>
    </row>
    <row r="29" spans="1:27" ht="15" hidden="1" customHeight="1" outlineLevel="1">
      <c r="A29" s="46"/>
      <c r="B29" s="255" t="s">
        <v>99</v>
      </c>
      <c r="C29" s="53"/>
      <c r="D29" s="47"/>
      <c r="E29" s="47"/>
      <c r="F29" s="134"/>
      <c r="G29" s="134"/>
      <c r="H29" s="134"/>
      <c r="I29" s="44">
        <f>I19</f>
        <v>-14500</v>
      </c>
      <c r="J29" s="44">
        <f t="shared" ref="J29:N29" si="3">J19</f>
        <v>-15200</v>
      </c>
      <c r="K29" s="44">
        <f t="shared" si="3"/>
        <v>-15800</v>
      </c>
      <c r="L29" s="44">
        <f t="shared" si="3"/>
        <v>-16500</v>
      </c>
      <c r="M29" s="44">
        <f t="shared" si="3"/>
        <v>-17200</v>
      </c>
      <c r="N29" s="328">
        <f t="shared" si="3"/>
        <v>-18500</v>
      </c>
      <c r="O29" s="46"/>
      <c r="P29" s="46"/>
      <c r="Z29" s="255" t="s">
        <v>142</v>
      </c>
      <c r="AA29" s="53"/>
    </row>
    <row r="30" spans="1:27" s="37" customFormat="1" ht="15" hidden="1" customHeight="1" outlineLevel="1">
      <c r="A30" s="46"/>
      <c r="B30" s="255" t="s">
        <v>139</v>
      </c>
      <c r="C30" s="53"/>
      <c r="D30" s="47"/>
      <c r="E30" s="47"/>
      <c r="F30" s="134"/>
      <c r="G30" s="134"/>
      <c r="H30" s="134"/>
      <c r="I30" s="44">
        <f>I20</f>
        <v>-2462.6194556844603</v>
      </c>
      <c r="J30" s="44">
        <f t="shared" ref="J30:N30" si="4">J20</f>
        <v>280.44196520620972</v>
      </c>
      <c r="K30" s="44">
        <f t="shared" si="4"/>
        <v>393.17627542409537</v>
      </c>
      <c r="L30" s="44">
        <f t="shared" si="4"/>
        <v>788.19706541462074</v>
      </c>
      <c r="M30" s="44">
        <f t="shared" si="4"/>
        <v>749.31048959098553</v>
      </c>
      <c r="N30" s="328">
        <f t="shared" si="4"/>
        <v>337.88611761368702</v>
      </c>
      <c r="O30" s="46"/>
      <c r="P30" s="46"/>
      <c r="Q30" s="27"/>
      <c r="Z30" s="255" t="s">
        <v>141</v>
      </c>
      <c r="AA30" s="53"/>
    </row>
    <row r="31" spans="1:27" s="37" customFormat="1" ht="15" hidden="1" customHeight="1" outlineLevel="1" thickBot="1">
      <c r="A31" s="27"/>
      <c r="B31" s="255" t="s">
        <v>129</v>
      </c>
      <c r="C31" s="52"/>
      <c r="D31" s="254"/>
      <c r="E31" s="254"/>
      <c r="F31" s="134"/>
      <c r="G31" s="134"/>
      <c r="H31" s="134"/>
      <c r="I31" s="327">
        <f ca="1">SUM(I25:I30)</f>
        <v>112360.89364601109</v>
      </c>
      <c r="J31" s="327">
        <f t="shared" ref="J31:N31" ca="1" si="5">SUM(J25:J30)</f>
        <v>121173.01953999582</v>
      </c>
      <c r="K31" s="327">
        <f t="shared" ca="1" si="5"/>
        <v>125735.18666456848</v>
      </c>
      <c r="L31" s="327">
        <f t="shared" ca="1" si="5"/>
        <v>128851.36442589061</v>
      </c>
      <c r="M31" s="327">
        <f t="shared" ca="1" si="5"/>
        <v>131822.80107032057</v>
      </c>
      <c r="N31" s="326">
        <f t="shared" ca="1" si="5"/>
        <v>130172.29688306224</v>
      </c>
      <c r="O31" s="27"/>
      <c r="P31" s="27"/>
      <c r="Q31" s="27"/>
      <c r="Z31" s="255" t="s">
        <v>327</v>
      </c>
      <c r="AA31" s="53"/>
    </row>
    <row r="32" spans="1:27" ht="15" hidden="1" customHeight="1" outlineLevel="1">
      <c r="N32" s="29"/>
      <c r="Z32" s="255" t="s">
        <v>355</v>
      </c>
      <c r="AA32" s="53"/>
    </row>
    <row r="33" spans="1:27" ht="15" hidden="1" customHeight="1" outlineLevel="1">
      <c r="Z33" s="255" t="s">
        <v>140</v>
      </c>
      <c r="AA33" s="53"/>
    </row>
    <row r="34" spans="1:27" ht="15" hidden="1" customHeight="1" outlineLevel="1">
      <c r="B34" s="325" t="s">
        <v>1</v>
      </c>
      <c r="C34" s="321"/>
      <c r="D34" s="320"/>
      <c r="E34" s="320"/>
      <c r="F34" s="319"/>
      <c r="G34" s="319"/>
      <c r="H34" s="319"/>
      <c r="I34" s="324">
        <f t="shared" ref="I34:N34" ca="1" si="6">IF(ROUND(I21-I31,1)=0,0,1)</f>
        <v>0</v>
      </c>
      <c r="J34" s="323">
        <f t="shared" ca="1" si="6"/>
        <v>0</v>
      </c>
      <c r="K34" s="323">
        <f t="shared" ca="1" si="6"/>
        <v>0</v>
      </c>
      <c r="L34" s="323">
        <f t="shared" ca="1" si="6"/>
        <v>0</v>
      </c>
      <c r="M34" s="323">
        <f t="shared" ca="1" si="6"/>
        <v>0</v>
      </c>
      <c r="N34" s="322">
        <f t="shared" ca="1" si="6"/>
        <v>0</v>
      </c>
      <c r="Z34" s="255" t="s">
        <v>99</v>
      </c>
      <c r="AA34" s="52"/>
    </row>
    <row r="35" spans="1:27" ht="15" hidden="1" customHeight="1" outlineLevel="1">
      <c r="C35" s="321"/>
      <c r="D35" s="320"/>
      <c r="E35" s="320"/>
      <c r="F35" s="319"/>
      <c r="G35" s="319"/>
      <c r="H35" s="319"/>
      <c r="I35" s="319"/>
      <c r="J35" s="319"/>
      <c r="K35" s="319"/>
      <c r="L35" s="319"/>
      <c r="M35" s="319"/>
      <c r="N35" s="319"/>
      <c r="Z35" s="255" t="s">
        <v>139</v>
      </c>
    </row>
    <row r="36" spans="1:27" s="37" customFormat="1" ht="15" hidden="1" customHeight="1" outlineLevel="1">
      <c r="A36" s="27"/>
      <c r="B36" s="27"/>
      <c r="C36" s="321"/>
      <c r="D36" s="320"/>
      <c r="E36" s="320"/>
      <c r="F36" s="319"/>
      <c r="G36" s="319"/>
      <c r="H36" s="319"/>
      <c r="I36" s="319"/>
      <c r="J36" s="319"/>
      <c r="K36" s="319"/>
      <c r="L36" s="319"/>
      <c r="M36" s="319"/>
      <c r="N36" s="319"/>
      <c r="O36" s="27"/>
      <c r="P36" s="27"/>
      <c r="Q36" s="27"/>
      <c r="Z36" s="255" t="s">
        <v>129</v>
      </c>
    </row>
    <row r="37" spans="1:27" s="37" customFormat="1" ht="15" hidden="1" customHeight="1" outlineLevel="1">
      <c r="A37" s="46"/>
      <c r="B37" s="46"/>
      <c r="C37" s="53"/>
      <c r="D37" s="47"/>
      <c r="E37" s="47"/>
      <c r="F37" s="47"/>
      <c r="G37" s="47"/>
      <c r="H37" s="47"/>
      <c r="I37" s="49"/>
      <c r="J37" s="49"/>
      <c r="K37" s="49"/>
      <c r="L37" s="49"/>
      <c r="M37" s="46"/>
      <c r="N37" s="30" t="s">
        <v>138</v>
      </c>
      <c r="O37" s="34"/>
      <c r="P37" s="46"/>
      <c r="Q37" s="27"/>
    </row>
    <row r="38" spans="1:27" ht="15" hidden="1" customHeight="1" outlineLevel="1">
      <c r="A38" s="46"/>
      <c r="B38" s="46"/>
      <c r="C38" s="53"/>
      <c r="D38" s="47"/>
      <c r="E38" s="47"/>
      <c r="F38" s="47"/>
      <c r="G38" s="47"/>
      <c r="H38" s="47"/>
      <c r="I38" s="49"/>
      <c r="J38" s="49"/>
      <c r="K38" s="49"/>
      <c r="L38" s="49"/>
      <c r="M38" s="46"/>
      <c r="N38" s="238" t="s">
        <v>137</v>
      </c>
      <c r="O38" s="34"/>
      <c r="P38" s="46"/>
    </row>
    <row r="39" spans="1:27" ht="15" hidden="1" customHeight="1" outlineLevel="1"/>
    <row r="40" spans="1:27" ht="15" hidden="1" customHeight="1" outlineLevel="1">
      <c r="A40" s="37"/>
      <c r="B40" s="124"/>
      <c r="C40" s="318"/>
      <c r="D40" s="317"/>
      <c r="E40" s="317"/>
      <c r="F40" s="316"/>
      <c r="G40" s="316"/>
      <c r="H40" s="316"/>
      <c r="I40" s="316"/>
      <c r="J40" s="316"/>
      <c r="K40" s="316"/>
      <c r="L40" s="316"/>
      <c r="M40" s="316"/>
      <c r="N40" s="316"/>
      <c r="O40" s="34"/>
      <c r="P40" s="37"/>
    </row>
    <row r="41" spans="1:27" ht="15" customHeight="1" collapsed="1">
      <c r="A41" s="46"/>
      <c r="B41" s="43"/>
      <c r="C41" s="53"/>
      <c r="D41" s="47"/>
      <c r="E41" s="47"/>
      <c r="F41" s="47"/>
      <c r="G41" s="47"/>
      <c r="H41" s="47"/>
      <c r="I41" s="49"/>
      <c r="J41" s="49"/>
      <c r="K41" s="49"/>
      <c r="L41" s="49"/>
      <c r="M41" s="49"/>
      <c r="N41" s="49"/>
      <c r="O41" s="46"/>
      <c r="P41" s="46"/>
    </row>
    <row r="42" spans="1:27" ht="15" customHeight="1">
      <c r="A42" s="46" t="s">
        <v>0</v>
      </c>
      <c r="B42" s="57" t="s">
        <v>136</v>
      </c>
      <c r="C42" s="56"/>
      <c r="D42" s="55"/>
      <c r="E42" s="55"/>
      <c r="F42" s="54"/>
      <c r="G42" s="54"/>
      <c r="H42" s="54"/>
      <c r="I42" s="54"/>
      <c r="J42" s="54"/>
      <c r="K42" s="54"/>
      <c r="L42" s="54"/>
      <c r="M42" s="54"/>
      <c r="N42" s="302"/>
      <c r="O42" s="46"/>
      <c r="P42" s="46"/>
    </row>
    <row r="43" spans="1:27" ht="15" hidden="1" customHeight="1" outlineLevel="1">
      <c r="A43" s="46"/>
      <c r="B43" s="183"/>
      <c r="C43" s="53"/>
      <c r="D43" s="52"/>
      <c r="E43" s="52"/>
      <c r="F43" s="51"/>
      <c r="G43" s="51"/>
      <c r="H43" s="51"/>
      <c r="I43" s="51"/>
      <c r="J43" s="51"/>
      <c r="K43" s="51"/>
      <c r="L43" s="51"/>
      <c r="M43" s="51"/>
      <c r="N43" s="51"/>
      <c r="O43" s="276"/>
      <c r="P43" s="46"/>
    </row>
    <row r="44" spans="1:27" ht="15" hidden="1" customHeight="1" outlineLevel="1">
      <c r="A44" s="46"/>
      <c r="B44" s="43" t="s">
        <v>263</v>
      </c>
      <c r="C44" s="53"/>
      <c r="D44" s="52"/>
      <c r="E44" s="52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27" ht="15" hidden="1" customHeight="1" outlineLevel="1">
      <c r="A45" s="46"/>
      <c r="B45" s="43" t="str">
        <f>B6</f>
        <v>Model Running: Base Case Drivers</v>
      </c>
      <c r="C45" s="46"/>
      <c r="D45" s="46"/>
      <c r="E45" s="47"/>
      <c r="F45" s="51"/>
      <c r="G45" s="51"/>
      <c r="H45" s="301" t="s">
        <v>38</v>
      </c>
      <c r="I45" s="300" t="s">
        <v>119</v>
      </c>
      <c r="J45" s="299"/>
      <c r="K45" s="299"/>
      <c r="L45" s="299"/>
      <c r="M45" s="299"/>
      <c r="N45" s="298" t="s">
        <v>103</v>
      </c>
      <c r="O45" s="285"/>
      <c r="P45" s="46"/>
    </row>
    <row r="46" spans="1:27" s="37" customFormat="1" ht="15" hidden="1" customHeight="1" outlineLevel="1">
      <c r="A46" s="46"/>
      <c r="B46" s="46"/>
      <c r="C46" s="46"/>
      <c r="D46" s="46"/>
      <c r="E46" s="47"/>
      <c r="F46" s="46"/>
      <c r="G46" s="46"/>
      <c r="H46" s="297" t="s">
        <v>45</v>
      </c>
      <c r="I46" s="297" t="s">
        <v>45</v>
      </c>
      <c r="J46" s="296" t="s">
        <v>45</v>
      </c>
      <c r="K46" s="296" t="s">
        <v>45</v>
      </c>
      <c r="L46" s="296" t="s">
        <v>45</v>
      </c>
      <c r="M46" s="296" t="s">
        <v>45</v>
      </c>
      <c r="N46" s="295" t="s">
        <v>45</v>
      </c>
      <c r="O46" s="285"/>
      <c r="P46" s="46"/>
      <c r="Q46" s="27"/>
    </row>
    <row r="47" spans="1:27" ht="15" hidden="1" customHeight="1" outlineLevel="1">
      <c r="A47" s="46"/>
      <c r="B47" s="294" t="s">
        <v>135</v>
      </c>
      <c r="C47" s="315">
        <f>Inputs!F116</f>
        <v>2.5000000000000001E-2</v>
      </c>
      <c r="D47" s="46"/>
      <c r="E47" s="47"/>
      <c r="F47" s="289" t="s">
        <v>131</v>
      </c>
      <c r="G47" s="46"/>
      <c r="H47" s="288">
        <f>Inputs!F103</f>
        <v>46121</v>
      </c>
      <c r="I47" s="288">
        <f>Inputs!F105</f>
        <v>46291</v>
      </c>
      <c r="J47" s="287">
        <f t="shared" ref="J47:N48" si="7">EDATE(I47,12)</f>
        <v>46656</v>
      </c>
      <c r="K47" s="287">
        <f t="shared" si="7"/>
        <v>47022</v>
      </c>
      <c r="L47" s="287">
        <f t="shared" si="7"/>
        <v>47387</v>
      </c>
      <c r="M47" s="287">
        <f t="shared" si="7"/>
        <v>47752</v>
      </c>
      <c r="N47" s="292">
        <f>EDATE(M47,12)</f>
        <v>48117</v>
      </c>
      <c r="O47" s="285"/>
      <c r="P47" s="46"/>
    </row>
    <row r="48" spans="1:27" ht="15" hidden="1" customHeight="1" outlineLevel="1" thickBot="1">
      <c r="A48" s="46"/>
      <c r="B48" s="291" t="s">
        <v>12</v>
      </c>
      <c r="C48" s="290">
        <f>Inputs!L76</f>
        <v>8.5644089949890478E-2</v>
      </c>
      <c r="D48" s="52"/>
      <c r="E48" s="52"/>
      <c r="F48" s="289" t="s">
        <v>130</v>
      </c>
      <c r="G48" s="46"/>
      <c r="H48" s="288">
        <f>H47</f>
        <v>46121</v>
      </c>
      <c r="I48" s="288">
        <f>Inputs!F104</f>
        <v>46291</v>
      </c>
      <c r="J48" s="287">
        <f t="shared" si="7"/>
        <v>46656</v>
      </c>
      <c r="K48" s="287">
        <f t="shared" si="7"/>
        <v>47022</v>
      </c>
      <c r="L48" s="287">
        <f t="shared" si="7"/>
        <v>47387</v>
      </c>
      <c r="M48" s="287">
        <f t="shared" si="7"/>
        <v>47752</v>
      </c>
      <c r="N48" s="286">
        <f t="shared" si="7"/>
        <v>48117</v>
      </c>
      <c r="O48" s="285"/>
      <c r="P48" s="46"/>
    </row>
    <row r="49" spans="1:17" ht="15" hidden="1" customHeight="1" outlineLevel="1">
      <c r="A49" s="46"/>
      <c r="B49" s="183"/>
      <c r="C49" s="53"/>
      <c r="D49" s="52"/>
      <c r="E49" s="52"/>
      <c r="F49" s="51"/>
      <c r="G49" s="51"/>
      <c r="H49" s="284"/>
      <c r="I49" s="284"/>
      <c r="J49" s="284"/>
      <c r="K49" s="284"/>
      <c r="L49" s="284"/>
      <c r="M49" s="284"/>
      <c r="N49" s="284"/>
      <c r="O49" s="276"/>
      <c r="P49" s="46"/>
    </row>
    <row r="50" spans="1:17" ht="15" hidden="1" customHeight="1" outlineLevel="1">
      <c r="A50" s="46"/>
      <c r="B50" s="155" t="s">
        <v>129</v>
      </c>
      <c r="C50" s="46"/>
      <c r="D50" s="47"/>
      <c r="E50" s="47"/>
      <c r="F50" s="134"/>
      <c r="G50" s="134"/>
      <c r="H50" s="314">
        <v>0</v>
      </c>
      <c r="I50" s="313">
        <f t="shared" ref="I50:N50" ca="1" si="8">I$31</f>
        <v>112360.89364601109</v>
      </c>
      <c r="J50" s="313">
        <f t="shared" ca="1" si="8"/>
        <v>121173.01953999582</v>
      </c>
      <c r="K50" s="313">
        <f t="shared" ca="1" si="8"/>
        <v>125735.18666456848</v>
      </c>
      <c r="L50" s="313">
        <f t="shared" ca="1" si="8"/>
        <v>128851.36442589061</v>
      </c>
      <c r="M50" s="313">
        <f t="shared" ca="1" si="8"/>
        <v>131822.80107032057</v>
      </c>
      <c r="N50" s="312">
        <f t="shared" ca="1" si="8"/>
        <v>130172.29688306224</v>
      </c>
      <c r="O50" s="276"/>
      <c r="P50" s="46"/>
    </row>
    <row r="51" spans="1:17" ht="15" hidden="1" customHeight="1" outlineLevel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256"/>
      <c r="P51" s="46"/>
    </row>
    <row r="52" spans="1:17" ht="15" hidden="1" customHeight="1" outlineLevel="1">
      <c r="A52" s="46"/>
      <c r="B52" s="43"/>
      <c r="C52" s="46"/>
      <c r="E52" s="47"/>
      <c r="G52" s="47"/>
      <c r="H52" s="47"/>
      <c r="I52" s="49"/>
      <c r="J52" s="49"/>
      <c r="K52" s="49"/>
      <c r="L52" s="49"/>
      <c r="M52" s="49"/>
      <c r="N52" s="46"/>
      <c r="O52" s="46"/>
      <c r="P52" s="46"/>
    </row>
    <row r="53" spans="1:17" ht="15" hidden="1" customHeight="1" outlineLevel="1">
      <c r="A53" s="46"/>
      <c r="B53" s="250" t="s">
        <v>127</v>
      </c>
      <c r="C53" s="46"/>
      <c r="E53" s="47"/>
      <c r="G53" s="47"/>
      <c r="H53" s="47"/>
      <c r="I53" s="49"/>
      <c r="J53" s="49"/>
      <c r="K53" s="49"/>
      <c r="L53" s="49"/>
      <c r="M53" s="49"/>
      <c r="N53" s="46"/>
      <c r="O53" s="46"/>
      <c r="P53" s="46"/>
    </row>
    <row r="54" spans="1:17" ht="15" hidden="1" customHeight="1" outlineLevel="1">
      <c r="A54" s="46"/>
      <c r="B54" s="111" t="s">
        <v>119</v>
      </c>
      <c r="C54" s="46"/>
      <c r="D54" s="275"/>
      <c r="E54" s="47"/>
      <c r="G54" s="134"/>
      <c r="H54" s="265">
        <v>0</v>
      </c>
      <c r="I54" s="263">
        <f ca="1">I50</f>
        <v>112360.89364601109</v>
      </c>
      <c r="J54" s="263">
        <f ca="1">J50</f>
        <v>121173.01953999582</v>
      </c>
      <c r="K54" s="263">
        <f ca="1">K50</f>
        <v>125735.18666456848</v>
      </c>
      <c r="L54" s="263">
        <f ca="1">L50</f>
        <v>128851.36442589061</v>
      </c>
      <c r="M54" s="263">
        <f ca="1">M50</f>
        <v>131822.80107032057</v>
      </c>
      <c r="N54" s="262"/>
      <c r="O54" s="256"/>
      <c r="P54" s="46"/>
    </row>
    <row r="55" spans="1:17" s="37" customFormat="1" ht="15" hidden="1" customHeight="1" outlineLevel="1">
      <c r="A55" s="46"/>
      <c r="B55" s="111" t="s">
        <v>118</v>
      </c>
      <c r="C55" s="46"/>
      <c r="D55" s="47"/>
      <c r="E55" s="47"/>
      <c r="F55" s="27"/>
      <c r="G55" s="134"/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0">
        <f ca="1">N50/(C48-C47)</f>
        <v>2146496.006298753</v>
      </c>
      <c r="N55" s="262"/>
      <c r="O55" s="256"/>
      <c r="P55" s="46"/>
      <c r="Q55" s="27"/>
    </row>
    <row r="56" spans="1:17" s="37" customFormat="1" ht="15" hidden="1" customHeight="1" outlineLevel="1">
      <c r="A56" s="46"/>
      <c r="B56" s="111" t="s">
        <v>117</v>
      </c>
      <c r="C56" s="46"/>
      <c r="D56" s="254"/>
      <c r="E56" s="254"/>
      <c r="F56" s="134"/>
      <c r="G56" s="134"/>
      <c r="H56" s="263">
        <f t="shared" ref="H56:M56" si="9">SUM(H54:H55)</f>
        <v>0</v>
      </c>
      <c r="I56" s="263">
        <f t="shared" ca="1" si="9"/>
        <v>112360.89364601109</v>
      </c>
      <c r="J56" s="263">
        <f t="shared" ca="1" si="9"/>
        <v>121173.01953999582</v>
      </c>
      <c r="K56" s="263">
        <f t="shared" ca="1" si="9"/>
        <v>125735.18666456848</v>
      </c>
      <c r="L56" s="263">
        <f t="shared" ca="1" si="9"/>
        <v>128851.36442589061</v>
      </c>
      <c r="M56" s="263">
        <f t="shared" ca="1" si="9"/>
        <v>2278318.8073690734</v>
      </c>
      <c r="N56" s="134"/>
      <c r="O56" s="256"/>
      <c r="P56" s="46"/>
      <c r="Q56" s="27"/>
    </row>
    <row r="57" spans="1:17" s="37" customFormat="1" ht="15" hidden="1" customHeight="1" outlineLevel="1">
      <c r="A57" s="46"/>
      <c r="B57" s="250"/>
      <c r="C57" s="46"/>
      <c r="D57" s="47"/>
      <c r="E57" s="47"/>
      <c r="F57" s="266"/>
      <c r="G57" s="266"/>
      <c r="H57" s="266"/>
      <c r="I57" s="266"/>
      <c r="J57" s="266"/>
      <c r="K57" s="266"/>
      <c r="L57" s="266"/>
      <c r="M57" s="27"/>
      <c r="N57" s="27"/>
      <c r="O57" s="256"/>
      <c r="P57" s="46"/>
      <c r="Q57" s="27"/>
    </row>
    <row r="58" spans="1:17" s="37" customFormat="1" ht="15" hidden="1" customHeight="1" outlineLevel="1">
      <c r="A58" s="46"/>
      <c r="B58" s="250" t="s">
        <v>123</v>
      </c>
      <c r="C58" s="46"/>
      <c r="D58" s="47"/>
      <c r="E58" s="47"/>
      <c r="F58" s="27"/>
      <c r="G58" s="47"/>
      <c r="H58" s="47"/>
      <c r="I58" s="49"/>
      <c r="J58" s="49"/>
      <c r="K58" s="49"/>
      <c r="L58" s="49"/>
      <c r="M58" s="49"/>
      <c r="N58" s="134"/>
      <c r="O58" s="256"/>
      <c r="P58" s="46"/>
      <c r="Q58" s="27"/>
    </row>
    <row r="59" spans="1:17" s="37" customFormat="1" ht="15" hidden="1" customHeight="1" outlineLevel="1">
      <c r="A59" s="46"/>
      <c r="B59" s="255" t="s">
        <v>122</v>
      </c>
      <c r="C59" s="46"/>
      <c r="D59" s="47"/>
      <c r="E59" s="47"/>
      <c r="F59" s="266"/>
      <c r="G59" s="266"/>
      <c r="H59" s="265">
        <v>0</v>
      </c>
      <c r="I59" s="264">
        <f>YEARFRAC(I47,H47)</f>
        <v>0.46388888888888891</v>
      </c>
      <c r="J59" s="264">
        <f>YEARFRAC(J47,I47)</f>
        <v>1</v>
      </c>
      <c r="K59" s="264">
        <f>YEARFRAC(K47,J47)</f>
        <v>1</v>
      </c>
      <c r="L59" s="264">
        <f>YEARFRAC(L47,K47)</f>
        <v>1</v>
      </c>
      <c r="M59" s="264">
        <f>YEARFRAC(M47,L47)</f>
        <v>1</v>
      </c>
      <c r="N59" s="134"/>
      <c r="O59" s="256"/>
      <c r="P59" s="46"/>
      <c r="Q59" s="27"/>
    </row>
    <row r="60" spans="1:17" s="37" customFormat="1" ht="15" hidden="1" customHeight="1" outlineLevel="1">
      <c r="A60" s="46"/>
      <c r="B60" s="255"/>
      <c r="C60" s="46"/>
      <c r="D60" s="47"/>
      <c r="E60" s="47"/>
      <c r="F60" s="266"/>
      <c r="G60" s="266"/>
      <c r="H60" s="265"/>
      <c r="I60" s="264"/>
      <c r="J60" s="264"/>
      <c r="K60" s="264"/>
      <c r="L60" s="264"/>
      <c r="M60" s="264"/>
      <c r="N60" s="134"/>
      <c r="O60" s="256"/>
      <c r="P60" s="46"/>
      <c r="Q60" s="27"/>
    </row>
    <row r="61" spans="1:17" s="37" customFormat="1" ht="15" hidden="1" customHeight="1" outlineLevel="1">
      <c r="A61" s="46"/>
      <c r="B61" s="111" t="s">
        <v>119</v>
      </c>
      <c r="C61" s="46"/>
      <c r="D61" s="275"/>
      <c r="E61" s="47"/>
      <c r="F61" s="27"/>
      <c r="G61" s="134"/>
      <c r="H61" s="265">
        <v>0</v>
      </c>
      <c r="I61" s="263">
        <f t="shared" ref="I61:M62" ca="1" si="10">I54*I$59</f>
        <v>52122.970108010697</v>
      </c>
      <c r="J61" s="263">
        <f t="shared" ca="1" si="10"/>
        <v>121173.01953999582</v>
      </c>
      <c r="K61" s="263">
        <f t="shared" ca="1" si="10"/>
        <v>125735.18666456848</v>
      </c>
      <c r="L61" s="263">
        <f t="shared" ca="1" si="10"/>
        <v>128851.36442589061</v>
      </c>
      <c r="M61" s="263">
        <f t="shared" ca="1" si="10"/>
        <v>131822.80107032057</v>
      </c>
      <c r="N61" s="134"/>
      <c r="O61" s="256"/>
      <c r="P61" s="46"/>
      <c r="Q61" s="27"/>
    </row>
    <row r="62" spans="1:17" s="37" customFormat="1" ht="15" hidden="1" customHeight="1" outlineLevel="1">
      <c r="A62" s="46"/>
      <c r="B62" s="111" t="s">
        <v>118</v>
      </c>
      <c r="C62" s="46"/>
      <c r="D62" s="47"/>
      <c r="E62" s="47"/>
      <c r="F62" s="27"/>
      <c r="G62" s="134"/>
      <c r="H62" s="271">
        <v>0</v>
      </c>
      <c r="I62" s="270">
        <f t="shared" si="10"/>
        <v>0</v>
      </c>
      <c r="J62" s="270">
        <f t="shared" si="10"/>
        <v>0</v>
      </c>
      <c r="K62" s="270">
        <f t="shared" si="10"/>
        <v>0</v>
      </c>
      <c r="L62" s="270">
        <f t="shared" si="10"/>
        <v>0</v>
      </c>
      <c r="M62" s="270">
        <f t="shared" ca="1" si="10"/>
        <v>2146496.006298753</v>
      </c>
      <c r="N62" s="134"/>
      <c r="O62" s="256"/>
      <c r="P62" s="46"/>
      <c r="Q62" s="27"/>
    </row>
    <row r="63" spans="1:17" s="37" customFormat="1" ht="15" hidden="1" customHeight="1" outlineLevel="1">
      <c r="A63" s="46"/>
      <c r="B63" s="111" t="s">
        <v>117</v>
      </c>
      <c r="C63" s="46"/>
      <c r="D63" s="254"/>
      <c r="E63" s="254"/>
      <c r="F63" s="134"/>
      <c r="G63" s="134"/>
      <c r="H63" s="263">
        <f t="shared" ref="H63:M63" si="11">SUM(H61:H62)</f>
        <v>0</v>
      </c>
      <c r="I63" s="263">
        <f t="shared" ca="1" si="11"/>
        <v>52122.970108010697</v>
      </c>
      <c r="J63" s="263">
        <f t="shared" ca="1" si="11"/>
        <v>121173.01953999582</v>
      </c>
      <c r="K63" s="263">
        <f t="shared" ca="1" si="11"/>
        <v>125735.18666456848</v>
      </c>
      <c r="L63" s="263">
        <f t="shared" ca="1" si="11"/>
        <v>128851.36442589061</v>
      </c>
      <c r="M63" s="263">
        <f t="shared" ca="1" si="11"/>
        <v>2278318.8073690734</v>
      </c>
      <c r="N63" s="134"/>
      <c r="O63" s="256"/>
      <c r="P63" s="46"/>
      <c r="Q63" s="27"/>
    </row>
    <row r="64" spans="1:17" s="37" customFormat="1" ht="15" hidden="1" customHeight="1" outlineLevel="1">
      <c r="A64" s="46"/>
      <c r="B64" s="255"/>
      <c r="C64" s="46"/>
      <c r="D64" s="47"/>
      <c r="E64" s="47"/>
      <c r="F64" s="266"/>
      <c r="G64" s="266"/>
      <c r="H64" s="265"/>
      <c r="I64" s="264"/>
      <c r="J64" s="264"/>
      <c r="K64" s="264"/>
      <c r="L64" s="264"/>
      <c r="M64" s="264"/>
      <c r="N64" s="134"/>
      <c r="O64" s="256"/>
      <c r="P64" s="46"/>
      <c r="Q64" s="27"/>
    </row>
    <row r="65" spans="1:17" s="37" customFormat="1" ht="15" hidden="1" customHeight="1" outlineLevel="1">
      <c r="A65" s="46"/>
      <c r="B65" s="250" t="s">
        <v>121</v>
      </c>
      <c r="C65" s="46"/>
      <c r="D65" s="47"/>
      <c r="E65" s="47"/>
      <c r="F65" s="27"/>
      <c r="G65" s="47"/>
      <c r="H65" s="47"/>
      <c r="I65" s="49"/>
      <c r="J65" s="49"/>
      <c r="K65" s="49"/>
      <c r="L65" s="49"/>
      <c r="M65" s="49"/>
      <c r="N65" s="134"/>
      <c r="O65" s="256"/>
      <c r="P65" s="46"/>
      <c r="Q65" s="27"/>
    </row>
    <row r="66" spans="1:17" s="37" customFormat="1" ht="15" hidden="1" customHeight="1" outlineLevel="1">
      <c r="A66" s="46"/>
      <c r="B66" s="255" t="s">
        <v>120</v>
      </c>
      <c r="C66" s="27"/>
      <c r="D66" s="47"/>
      <c r="E66" s="47"/>
      <c r="F66" s="134"/>
      <c r="G66" s="134"/>
      <c r="H66" s="139">
        <v>0</v>
      </c>
      <c r="I66" s="137">
        <f>H66+YEARFRAC(H48,I48)</f>
        <v>0.46388888888888891</v>
      </c>
      <c r="J66" s="137">
        <f>I66+YEARFRAC(I48,J48)</f>
        <v>1.463888888888889</v>
      </c>
      <c r="K66" s="137">
        <f>J66+YEARFRAC(J48,K48)</f>
        <v>2.463888888888889</v>
      </c>
      <c r="L66" s="137">
        <f>K66+YEARFRAC(K48,L48)</f>
        <v>3.463888888888889</v>
      </c>
      <c r="M66" s="137">
        <f>L66+YEARFRAC(L48,M48)</f>
        <v>4.4638888888888886</v>
      </c>
      <c r="N66" s="134"/>
      <c r="O66" s="256"/>
      <c r="P66" s="46"/>
      <c r="Q66" s="27"/>
    </row>
    <row r="67" spans="1:17" s="37" customFormat="1" ht="15" hidden="1" customHeight="1" outlineLevel="1">
      <c r="A67" s="46"/>
      <c r="B67" s="255"/>
      <c r="C67" s="27"/>
      <c r="D67" s="47"/>
      <c r="E67" s="47"/>
      <c r="F67" s="134"/>
      <c r="G67" s="134"/>
      <c r="H67" s="139"/>
      <c r="I67" s="137"/>
      <c r="J67" s="137"/>
      <c r="K67" s="137"/>
      <c r="L67" s="137"/>
      <c r="M67" s="137"/>
      <c r="N67" s="134"/>
      <c r="O67" s="256"/>
      <c r="P67" s="46"/>
      <c r="Q67" s="27"/>
    </row>
    <row r="68" spans="1:17" s="37" customFormat="1" ht="15" hidden="1" customHeight="1" outlineLevel="1">
      <c r="A68" s="46"/>
      <c r="B68" s="111" t="s">
        <v>119</v>
      </c>
      <c r="C68" s="46"/>
      <c r="D68" s="275"/>
      <c r="E68" s="47"/>
      <c r="F68" s="27"/>
      <c r="G68" s="134"/>
      <c r="H68" s="269">
        <v>0</v>
      </c>
      <c r="I68" s="263">
        <f t="shared" ref="I68:M69" ca="1" si="12">I61/(1+$C$48)^I$66</f>
        <v>50173.469441474146</v>
      </c>
      <c r="J68" s="263">
        <f t="shared" ca="1" si="12"/>
        <v>107439.36574622928</v>
      </c>
      <c r="K68" s="263">
        <f t="shared" ca="1" si="12"/>
        <v>102689.69499711521</v>
      </c>
      <c r="L68" s="263">
        <f t="shared" ca="1" si="12"/>
        <v>96932.983993256727</v>
      </c>
      <c r="M68" s="263">
        <f t="shared" ca="1" si="12"/>
        <v>91345.177431106611</v>
      </c>
      <c r="N68" s="134"/>
      <c r="O68" s="256"/>
      <c r="P68" s="46"/>
      <c r="Q68" s="27"/>
    </row>
    <row r="69" spans="1:17" s="37" customFormat="1" ht="15" hidden="1" customHeight="1" outlineLevel="1">
      <c r="A69" s="46"/>
      <c r="B69" s="111" t="s">
        <v>118</v>
      </c>
      <c r="C69" s="46"/>
      <c r="D69" s="47"/>
      <c r="E69" s="47"/>
      <c r="F69" s="27"/>
      <c r="G69" s="134"/>
      <c r="H69" s="271">
        <v>0</v>
      </c>
      <c r="I69" s="270">
        <f t="shared" si="12"/>
        <v>0</v>
      </c>
      <c r="J69" s="270">
        <f t="shared" si="12"/>
        <v>0</v>
      </c>
      <c r="K69" s="270">
        <f t="shared" si="12"/>
        <v>0</v>
      </c>
      <c r="L69" s="270">
        <f t="shared" si="12"/>
        <v>0</v>
      </c>
      <c r="M69" s="270">
        <f t="shared" ca="1" si="12"/>
        <v>1487391.0807427552</v>
      </c>
      <c r="N69" s="134"/>
      <c r="O69" s="256"/>
      <c r="P69" s="46"/>
      <c r="Q69" s="27"/>
    </row>
    <row r="70" spans="1:17" s="37" customFormat="1" ht="15" hidden="1" customHeight="1" outlineLevel="1">
      <c r="A70" s="46"/>
      <c r="B70" s="111" t="s">
        <v>117</v>
      </c>
      <c r="C70" s="46"/>
      <c r="D70" s="254"/>
      <c r="E70" s="254"/>
      <c r="F70" s="134"/>
      <c r="G70" s="134"/>
      <c r="H70" s="263">
        <f t="shared" ref="H70:M70" si="13">SUM(H68:H69)</f>
        <v>0</v>
      </c>
      <c r="I70" s="263">
        <f t="shared" ca="1" si="13"/>
        <v>50173.469441474146</v>
      </c>
      <c r="J70" s="263">
        <f t="shared" ca="1" si="13"/>
        <v>107439.36574622928</v>
      </c>
      <c r="K70" s="263">
        <f t="shared" ca="1" si="13"/>
        <v>102689.69499711521</v>
      </c>
      <c r="L70" s="263">
        <f t="shared" ca="1" si="13"/>
        <v>96932.983993256727</v>
      </c>
      <c r="M70" s="263">
        <f t="shared" ca="1" si="13"/>
        <v>1578736.2581738618</v>
      </c>
      <c r="N70" s="134"/>
      <c r="O70" s="256"/>
      <c r="P70" s="46"/>
      <c r="Q70" s="46"/>
    </row>
    <row r="71" spans="1:17" s="37" customFormat="1" ht="15" hidden="1" customHeight="1" outlineLevel="1">
      <c r="A71" s="46"/>
      <c r="B71" s="255"/>
      <c r="C71" s="46"/>
      <c r="D71" s="47"/>
      <c r="E71" s="47"/>
      <c r="F71" s="266"/>
      <c r="G71" s="266"/>
      <c r="H71" s="265"/>
      <c r="I71" s="264"/>
      <c r="J71" s="264"/>
      <c r="K71" s="264"/>
      <c r="L71" s="264"/>
      <c r="M71" s="264"/>
      <c r="N71" s="134"/>
      <c r="O71" s="256"/>
      <c r="P71" s="46"/>
      <c r="Q71" s="46"/>
    </row>
    <row r="72" spans="1:17" s="37" customFormat="1" ht="15" hidden="1" customHeight="1" outlineLevel="1">
      <c r="A72" s="27"/>
      <c r="B72" s="27"/>
      <c r="C72" s="27"/>
      <c r="D72" s="27"/>
      <c r="E72" s="27"/>
      <c r="F72" s="29"/>
      <c r="G72" s="29"/>
      <c r="H72" s="29"/>
      <c r="I72" s="29"/>
      <c r="J72" s="29"/>
      <c r="K72" s="29"/>
      <c r="L72" s="29"/>
      <c r="M72" s="29"/>
      <c r="N72" s="27"/>
      <c r="O72" s="27"/>
      <c r="P72" s="27"/>
      <c r="Q72" s="27"/>
    </row>
    <row r="73" spans="1:17" s="37" customFormat="1" ht="15" hidden="1" customHeight="1" outlineLevel="1">
      <c r="A73" s="27"/>
      <c r="B73" s="27"/>
      <c r="C73" s="27"/>
      <c r="D73" s="27"/>
      <c r="E73" s="27"/>
      <c r="F73" s="42" t="s">
        <v>116</v>
      </c>
      <c r="G73" s="261"/>
      <c r="H73" s="29"/>
      <c r="I73" s="29"/>
      <c r="J73" s="42" t="s">
        <v>116</v>
      </c>
      <c r="K73" s="261"/>
      <c r="L73" s="29"/>
      <c r="M73" s="29"/>
      <c r="N73" s="27"/>
      <c r="O73" s="27"/>
      <c r="P73" s="27"/>
    </row>
    <row r="74" spans="1:17" s="37" customFormat="1" ht="15" hidden="1" customHeight="1" outlineLevel="1">
      <c r="A74" s="27"/>
      <c r="B74" s="27"/>
      <c r="C74" s="27"/>
      <c r="D74" s="27"/>
      <c r="E74" s="27"/>
      <c r="F74" s="259" t="s">
        <v>115</v>
      </c>
      <c r="G74" s="258"/>
      <c r="H74" s="247">
        <f ca="1">SUM(I70:M70)</f>
        <v>1935971.7723519371</v>
      </c>
      <c r="I74" s="29"/>
      <c r="J74" s="259" t="s">
        <v>114</v>
      </c>
      <c r="K74" s="258"/>
      <c r="L74" s="257">
        <f ca="1">M74/$M$76</f>
        <v>0.23170828108935632</v>
      </c>
      <c r="M74" s="247">
        <f ca="1">SUM(I68:M68)</f>
        <v>448580.69160918199</v>
      </c>
      <c r="N74" s="27"/>
      <c r="O74" s="27"/>
      <c r="P74" s="27"/>
      <c r="Q74" s="46"/>
    </row>
    <row r="75" spans="1:17" s="37" customFormat="1" ht="15" hidden="1" customHeight="1" outlineLevel="1">
      <c r="A75" s="27"/>
      <c r="B75" s="27"/>
      <c r="C75" s="27"/>
      <c r="D75" s="27"/>
      <c r="E75" s="27"/>
      <c r="F75" s="253" t="s">
        <v>134</v>
      </c>
      <c r="G75" s="252"/>
      <c r="H75" s="242">
        <f ca="1">XNPV(C48,H63:M63,H48:M48)</f>
        <v>1935274.9141491137</v>
      </c>
      <c r="I75" s="29"/>
      <c r="J75" s="246" t="s">
        <v>112</v>
      </c>
      <c r="K75" s="29"/>
      <c r="L75" s="311">
        <f ca="1">M75/$M$76</f>
        <v>0.76829171891064374</v>
      </c>
      <c r="M75" s="309">
        <f ca="1">SUM(I69:M69)</f>
        <v>1487391.0807427552</v>
      </c>
      <c r="N75" s="27"/>
      <c r="O75" s="27"/>
      <c r="P75" s="27"/>
      <c r="Q75" s="46"/>
    </row>
    <row r="76" spans="1:17" s="37" customFormat="1" ht="15" hidden="1" customHeight="1" outlineLevel="1">
      <c r="A76" s="27"/>
      <c r="B76" s="27"/>
      <c r="C76" s="27"/>
      <c r="D76" s="27"/>
      <c r="E76" s="27"/>
      <c r="F76" s="27"/>
      <c r="G76" s="27"/>
      <c r="H76" s="27"/>
      <c r="I76" s="29"/>
      <c r="J76" s="246" t="s">
        <v>109</v>
      </c>
      <c r="K76" s="29"/>
      <c r="L76" s="257">
        <f ca="1">M76/$M$76</f>
        <v>1</v>
      </c>
      <c r="M76" s="247">
        <f ca="1">SUM(M74:M75)</f>
        <v>1935971.7723519371</v>
      </c>
      <c r="N76" s="27"/>
      <c r="O76" s="27"/>
      <c r="P76" s="27"/>
      <c r="Q76" s="46"/>
    </row>
    <row r="77" spans="1:17" s="37" customFormat="1" ht="15" hidden="1" customHeight="1" outlineLevel="1">
      <c r="A77" s="27"/>
      <c r="B77" s="27"/>
      <c r="C77" s="27"/>
      <c r="D77" s="27"/>
      <c r="E77" s="27"/>
      <c r="F77" s="29"/>
      <c r="G77" s="29"/>
      <c r="H77" s="29"/>
      <c r="I77" s="29"/>
      <c r="J77" s="258"/>
      <c r="K77" s="258"/>
      <c r="L77" s="258"/>
      <c r="M77" s="258"/>
      <c r="N77" s="27"/>
      <c r="O77" s="27"/>
      <c r="P77" s="27"/>
      <c r="Q77" s="46"/>
    </row>
    <row r="78" spans="1:17" s="37" customFormat="1" ht="15" hidden="1" customHeight="1" outlineLevel="1">
      <c r="A78" s="27"/>
      <c r="B78" s="27"/>
      <c r="C78" s="27"/>
      <c r="D78" s="27"/>
      <c r="E78" s="27"/>
      <c r="F78" s="29"/>
      <c r="G78" s="29"/>
      <c r="H78" s="29"/>
      <c r="I78" s="29"/>
      <c r="J78" s="29"/>
      <c r="K78" s="29"/>
      <c r="L78" s="29"/>
      <c r="M78" s="29"/>
      <c r="N78" s="27"/>
      <c r="O78" s="27"/>
      <c r="P78" s="27"/>
      <c r="Q78" s="46"/>
    </row>
    <row r="79" spans="1:17" s="37" customFormat="1" ht="15" hidden="1" customHeight="1" outlineLevel="1">
      <c r="A79" s="27"/>
      <c r="B79" s="27"/>
      <c r="C79" s="27"/>
      <c r="D79" s="27"/>
      <c r="E79" s="27"/>
      <c r="F79" s="42" t="s">
        <v>111</v>
      </c>
      <c r="G79" s="134"/>
      <c r="H79" s="29"/>
      <c r="I79" s="29"/>
      <c r="J79" s="42" t="s">
        <v>110</v>
      </c>
      <c r="K79" s="134"/>
      <c r="L79" s="29"/>
      <c r="M79" s="29"/>
      <c r="N79" s="27"/>
      <c r="O79" s="27"/>
      <c r="P79" s="27"/>
      <c r="Q79" s="46"/>
    </row>
    <row r="80" spans="1:17" s="37" customFormat="1" ht="15" hidden="1" customHeight="1" outlineLevel="1">
      <c r="A80" s="27"/>
      <c r="B80" s="27"/>
      <c r="C80" s="27"/>
      <c r="D80" s="27"/>
      <c r="E80" s="27"/>
      <c r="F80" s="259" t="s">
        <v>109</v>
      </c>
      <c r="G80" s="258"/>
      <c r="H80" s="282">
        <f ca="1">H75</f>
        <v>1935274.9141491137</v>
      </c>
      <c r="I80" s="308"/>
      <c r="J80" s="259" t="s">
        <v>14</v>
      </c>
      <c r="K80" s="258"/>
      <c r="L80" s="258"/>
      <c r="M80" s="247">
        <f ca="1">H82</f>
        <v>1989560.9141491137</v>
      </c>
      <c r="N80" s="27"/>
      <c r="O80" s="27"/>
      <c r="P80" s="27"/>
      <c r="Q80" s="46"/>
    </row>
    <row r="81" spans="1:17" s="37" customFormat="1" ht="15" hidden="1" customHeight="1" outlineLevel="1">
      <c r="A81" s="27"/>
      <c r="B81" s="27"/>
      <c r="C81" s="27"/>
      <c r="D81" s="27"/>
      <c r="E81" s="27"/>
      <c r="F81" s="246" t="s">
        <v>108</v>
      </c>
      <c r="G81" s="29"/>
      <c r="H81" s="44">
        <f>-Inputs!L107</f>
        <v>54286</v>
      </c>
      <c r="I81" s="308"/>
      <c r="J81" s="246" t="s">
        <v>17</v>
      </c>
      <c r="K81" s="29"/>
      <c r="L81" s="310"/>
      <c r="M81" s="309">
        <f>Inputs!F114</f>
        <v>14776</v>
      </c>
      <c r="N81" s="27"/>
      <c r="O81" s="27"/>
      <c r="P81" s="27"/>
      <c r="Q81" s="46"/>
    </row>
    <row r="82" spans="1:17" s="37" customFormat="1" ht="15" hidden="1" customHeight="1" outlineLevel="1">
      <c r="A82" s="27"/>
      <c r="B82" s="27"/>
      <c r="C82" s="27"/>
      <c r="D82" s="27"/>
      <c r="E82" s="27"/>
      <c r="F82" s="246" t="s">
        <v>14</v>
      </c>
      <c r="G82" s="29"/>
      <c r="H82" s="282">
        <f ca="1">SUM(H80:H81)</f>
        <v>1989560.9141491137</v>
      </c>
      <c r="I82" s="308"/>
      <c r="J82" s="246" t="s">
        <v>14</v>
      </c>
      <c r="K82" s="29"/>
      <c r="L82" s="307" t="s">
        <v>107</v>
      </c>
      <c r="M82" s="306">
        <f ca="1">M80/M81</f>
        <v>134.64813983142349</v>
      </c>
      <c r="N82" s="27"/>
      <c r="O82" s="27"/>
      <c r="P82" s="27"/>
      <c r="Q82" s="46"/>
    </row>
    <row r="83" spans="1:17" s="37" customFormat="1" ht="15" hidden="1" customHeight="1" outlineLevel="1">
      <c r="A83" s="27"/>
      <c r="B83" s="27"/>
      <c r="C83" s="134"/>
      <c r="D83" s="27"/>
      <c r="E83" s="27"/>
      <c r="F83" s="258"/>
      <c r="G83" s="258"/>
      <c r="H83" s="258"/>
      <c r="I83" s="29"/>
      <c r="J83" s="258"/>
      <c r="K83" s="258"/>
      <c r="L83" s="258"/>
      <c r="M83" s="258"/>
      <c r="N83" s="27"/>
      <c r="O83" s="27"/>
      <c r="P83" s="27"/>
      <c r="Q83" s="46"/>
    </row>
    <row r="84" spans="1:17" s="37" customFormat="1" ht="15" hidden="1" customHeight="1" outlineLevel="1">
      <c r="A84" s="27"/>
      <c r="B84" s="27"/>
      <c r="C84" s="134"/>
      <c r="D84" s="27"/>
      <c r="E84" s="27"/>
      <c r="F84" s="29"/>
      <c r="G84" s="29"/>
      <c r="H84" s="29"/>
      <c r="I84" s="29"/>
      <c r="J84" s="29"/>
      <c r="K84" s="29"/>
      <c r="L84" s="29"/>
      <c r="M84" s="29"/>
      <c r="N84" s="27"/>
      <c r="O84" s="27"/>
      <c r="P84" s="27"/>
      <c r="Q84" s="46"/>
    </row>
    <row r="85" spans="1:17" s="37" customFormat="1" ht="15" hidden="1" customHeight="1" outlineLevel="1">
      <c r="A85" s="46"/>
      <c r="B85" s="46"/>
      <c r="C85" s="53"/>
      <c r="D85" s="47"/>
      <c r="E85" s="47"/>
      <c r="F85" s="279"/>
      <c r="G85" s="279"/>
      <c r="H85" s="279"/>
      <c r="I85" s="305"/>
      <c r="J85" s="305"/>
      <c r="K85" s="305"/>
      <c r="L85" s="305"/>
      <c r="M85" s="304" t="s">
        <v>133</v>
      </c>
      <c r="N85" s="46"/>
      <c r="O85" s="34"/>
      <c r="P85" s="46"/>
      <c r="Q85" s="46"/>
    </row>
    <row r="86" spans="1:17" s="37" customFormat="1" ht="15" hidden="1" customHeight="1" outlineLevel="1">
      <c r="A86" s="46"/>
      <c r="B86" s="46"/>
      <c r="C86" s="53"/>
      <c r="D86" s="47"/>
      <c r="E86" s="47"/>
      <c r="F86" s="47"/>
      <c r="G86" s="47"/>
      <c r="H86" s="47"/>
      <c r="I86" s="49"/>
      <c r="J86" s="49"/>
      <c r="K86" s="49"/>
      <c r="L86" s="49"/>
      <c r="M86" s="303"/>
      <c r="N86" s="46"/>
      <c r="O86" s="34"/>
      <c r="P86" s="46"/>
      <c r="Q86" s="46"/>
    </row>
    <row r="87" spans="1:17" s="37" customFormat="1" ht="15" hidden="1" customHeight="1" outlineLevel="1">
      <c r="A87" s="46"/>
      <c r="B87" s="237"/>
      <c r="C87" s="122"/>
      <c r="D87" s="236"/>
      <c r="E87" s="236"/>
      <c r="F87" s="236"/>
      <c r="G87" s="236"/>
      <c r="H87" s="236"/>
      <c r="I87" s="235"/>
      <c r="J87" s="235"/>
      <c r="K87" s="235"/>
      <c r="L87" s="235"/>
      <c r="M87" s="235"/>
      <c r="N87" s="235"/>
      <c r="O87" s="46"/>
      <c r="P87" s="46"/>
      <c r="Q87" s="46"/>
    </row>
    <row r="88" spans="1:17" s="37" customFormat="1" ht="15" customHeight="1" collapsed="1">
      <c r="A88" s="46"/>
      <c r="B88" s="43"/>
      <c r="C88" s="53"/>
      <c r="D88" s="47"/>
      <c r="E88" s="47"/>
      <c r="F88" s="47"/>
      <c r="G88" s="47"/>
      <c r="H88" s="47"/>
      <c r="I88" s="49"/>
      <c r="J88" s="49"/>
      <c r="K88" s="49"/>
      <c r="L88" s="49"/>
      <c r="M88" s="49"/>
      <c r="N88" s="49"/>
      <c r="O88" s="46"/>
      <c r="P88" s="46"/>
      <c r="Q88" s="46"/>
    </row>
    <row r="89" spans="1:17" s="37" customFormat="1" ht="15" customHeight="1">
      <c r="A89" s="46" t="s">
        <v>0</v>
      </c>
      <c r="B89" s="57" t="s">
        <v>132</v>
      </c>
      <c r="C89" s="56"/>
      <c r="D89" s="55"/>
      <c r="E89" s="55"/>
      <c r="F89" s="54"/>
      <c r="G89" s="54"/>
      <c r="H89" s="54"/>
      <c r="I89" s="54"/>
      <c r="J89" s="54"/>
      <c r="K89" s="54"/>
      <c r="L89" s="54"/>
      <c r="M89" s="54"/>
      <c r="N89" s="302"/>
      <c r="O89" s="46"/>
      <c r="P89" s="46"/>
      <c r="Q89" s="46"/>
    </row>
    <row r="90" spans="1:17" s="37" customFormat="1" ht="15" hidden="1" customHeight="1" outlineLevel="1">
      <c r="A90" s="46"/>
      <c r="B90" s="183"/>
      <c r="C90" s="53"/>
      <c r="D90" s="52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1:17" s="37" customFormat="1" ht="15" hidden="1" customHeight="1" outlineLevel="1">
      <c r="A91" s="46"/>
      <c r="B91" s="43" t="s">
        <v>263</v>
      </c>
      <c r="C91" s="53"/>
      <c r="D91" s="52"/>
      <c r="E91" s="52"/>
      <c r="F91" s="51"/>
      <c r="G91" s="51"/>
      <c r="H91" s="51"/>
      <c r="I91" s="51"/>
      <c r="J91" s="51"/>
      <c r="K91" s="51"/>
      <c r="L91" s="51"/>
      <c r="M91" s="51"/>
      <c r="N91" s="51"/>
      <c r="O91" s="276"/>
      <c r="P91" s="46"/>
      <c r="Q91" s="46"/>
    </row>
    <row r="92" spans="1:17" s="37" customFormat="1" ht="15" hidden="1" customHeight="1" outlineLevel="1">
      <c r="A92" s="46"/>
      <c r="B92" s="43" t="str">
        <f>B45</f>
        <v>Model Running: Base Case Drivers</v>
      </c>
      <c r="C92" s="46"/>
      <c r="D92" s="46"/>
      <c r="E92" s="52"/>
      <c r="F92" s="51"/>
      <c r="G92" s="51"/>
      <c r="H92" s="301" t="s">
        <v>38</v>
      </c>
      <c r="I92" s="300" t="s">
        <v>119</v>
      </c>
      <c r="J92" s="299"/>
      <c r="K92" s="299"/>
      <c r="L92" s="299"/>
      <c r="M92" s="299"/>
      <c r="N92" s="298" t="s">
        <v>103</v>
      </c>
      <c r="O92" s="285"/>
      <c r="P92" s="46"/>
      <c r="Q92" s="46"/>
    </row>
    <row r="93" spans="1:17" s="46" customFormat="1" ht="15" hidden="1" customHeight="1" outlineLevel="1">
      <c r="E93" s="47"/>
      <c r="H93" s="297" t="s">
        <v>45</v>
      </c>
      <c r="I93" s="297" t="s">
        <v>45</v>
      </c>
      <c r="J93" s="296" t="s">
        <v>45</v>
      </c>
      <c r="K93" s="296" t="s">
        <v>45</v>
      </c>
      <c r="L93" s="296" t="s">
        <v>45</v>
      </c>
      <c r="M93" s="296" t="s">
        <v>45</v>
      </c>
      <c r="N93" s="295" t="s">
        <v>45</v>
      </c>
      <c r="O93" s="285"/>
    </row>
    <row r="94" spans="1:17" s="46" customFormat="1" ht="15" hidden="1" customHeight="1" outlineLevel="1">
      <c r="B94" s="294" t="s">
        <v>13</v>
      </c>
      <c r="C94" s="293">
        <f>Inputs!F117</f>
        <v>22</v>
      </c>
      <c r="E94" s="47"/>
      <c r="F94" s="289" t="s">
        <v>131</v>
      </c>
      <c r="H94" s="288">
        <f>Inputs!F103</f>
        <v>46121</v>
      </c>
      <c r="I94" s="288">
        <f>Inputs!F105</f>
        <v>46291</v>
      </c>
      <c r="J94" s="287">
        <f t="shared" ref="J94:N95" si="14">EDATE(I94,12)</f>
        <v>46656</v>
      </c>
      <c r="K94" s="287">
        <f t="shared" si="14"/>
        <v>47022</v>
      </c>
      <c r="L94" s="287">
        <f t="shared" si="14"/>
        <v>47387</v>
      </c>
      <c r="M94" s="287">
        <f t="shared" si="14"/>
        <v>47752</v>
      </c>
      <c r="N94" s="292">
        <f t="shared" si="14"/>
        <v>48117</v>
      </c>
      <c r="O94" s="285"/>
    </row>
    <row r="95" spans="1:17" s="46" customFormat="1" ht="15" hidden="1" customHeight="1" outlineLevel="1" thickBot="1">
      <c r="B95" s="291" t="s">
        <v>12</v>
      </c>
      <c r="C95" s="290">
        <f>Inputs!L76</f>
        <v>8.5644089949890478E-2</v>
      </c>
      <c r="D95" s="52"/>
      <c r="E95" s="47"/>
      <c r="F95" s="289" t="s">
        <v>130</v>
      </c>
      <c r="H95" s="288">
        <f>H94</f>
        <v>46121</v>
      </c>
      <c r="I95" s="288">
        <f>Inputs!F104</f>
        <v>46291</v>
      </c>
      <c r="J95" s="287">
        <f t="shared" si="14"/>
        <v>46656</v>
      </c>
      <c r="K95" s="287">
        <f t="shared" si="14"/>
        <v>47022</v>
      </c>
      <c r="L95" s="287">
        <f t="shared" si="14"/>
        <v>47387</v>
      </c>
      <c r="M95" s="287">
        <f>EDATE(L95,12)</f>
        <v>47752</v>
      </c>
      <c r="N95" s="286">
        <f>EDATE(M95,12)</f>
        <v>48117</v>
      </c>
      <c r="O95" s="285"/>
    </row>
    <row r="96" spans="1:17" ht="15" hidden="1" customHeight="1" outlineLevel="1">
      <c r="A96" s="46"/>
      <c r="B96" s="183"/>
      <c r="C96" s="53"/>
      <c r="D96" s="52"/>
      <c r="E96" s="52"/>
      <c r="F96" s="51"/>
      <c r="G96" s="51"/>
      <c r="H96" s="284"/>
      <c r="I96" s="284"/>
      <c r="J96" s="284"/>
      <c r="K96" s="284"/>
      <c r="L96" s="284"/>
      <c r="M96" s="284"/>
      <c r="N96" s="284"/>
      <c r="O96" s="276"/>
      <c r="P96" s="46"/>
      <c r="Q96" s="46"/>
    </row>
    <row r="97" spans="1:17" s="46" customFormat="1" ht="15" hidden="1" customHeight="1" outlineLevel="1">
      <c r="B97" s="38" t="s">
        <v>129</v>
      </c>
      <c r="C97" s="280"/>
      <c r="D97" s="279"/>
      <c r="E97" s="279"/>
      <c r="F97" s="134"/>
      <c r="G97" s="134"/>
      <c r="H97" s="283"/>
      <c r="I97" s="282">
        <f t="shared" ref="I97:N97" ca="1" si="15">I$31</f>
        <v>112360.89364601109</v>
      </c>
      <c r="J97" s="282">
        <f t="shared" ca="1" si="15"/>
        <v>121173.01953999582</v>
      </c>
      <c r="K97" s="282">
        <f t="shared" ca="1" si="15"/>
        <v>125735.18666456848</v>
      </c>
      <c r="L97" s="282">
        <f t="shared" ca="1" si="15"/>
        <v>128851.36442589061</v>
      </c>
      <c r="M97" s="282">
        <f t="shared" ca="1" si="15"/>
        <v>131822.80107032057</v>
      </c>
      <c r="N97" s="281">
        <f t="shared" ca="1" si="15"/>
        <v>130172.29688306224</v>
      </c>
      <c r="O97" s="276"/>
    </row>
    <row r="98" spans="1:17" ht="15" hidden="1" customHeight="1" outlineLevel="1">
      <c r="A98" s="46"/>
      <c r="B98" s="38" t="s">
        <v>128</v>
      </c>
      <c r="C98" s="280"/>
      <c r="D98" s="279"/>
      <c r="E98" s="279"/>
      <c r="F98" s="134"/>
      <c r="G98" s="134"/>
      <c r="H98" s="278"/>
      <c r="I98" s="267"/>
      <c r="J98" s="267"/>
      <c r="K98" s="267"/>
      <c r="L98" s="267"/>
      <c r="M98" s="268"/>
      <c r="N98" s="277">
        <f>N$17</f>
        <v>177027.97407258677</v>
      </c>
      <c r="O98" s="276"/>
      <c r="P98" s="46"/>
      <c r="Q98" s="46"/>
    </row>
    <row r="99" spans="1:17" ht="15" hidden="1" customHeight="1" outlineLevel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 spans="1:17" s="46" customFormat="1" ht="15" hidden="1" customHeight="1" outlineLevel="1">
      <c r="B100" s="250" t="s">
        <v>127</v>
      </c>
      <c r="E100" s="4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7" s="46" customFormat="1" ht="15" hidden="1" customHeight="1" outlineLevel="1">
      <c r="B101" s="255" t="s">
        <v>119</v>
      </c>
      <c r="D101" s="275"/>
      <c r="E101" s="47"/>
      <c r="F101" s="274" t="s">
        <v>126</v>
      </c>
      <c r="G101" s="134"/>
      <c r="H101" s="265">
        <v>0</v>
      </c>
      <c r="I101" s="263">
        <f t="shared" ref="I101:N101" ca="1" si="16">I97</f>
        <v>112360.89364601109</v>
      </c>
      <c r="J101" s="263">
        <f t="shared" ca="1" si="16"/>
        <v>121173.01953999582</v>
      </c>
      <c r="K101" s="263">
        <f t="shared" ca="1" si="16"/>
        <v>125735.18666456848</v>
      </c>
      <c r="L101" s="263">
        <f t="shared" ca="1" si="16"/>
        <v>128851.36442589061</v>
      </c>
      <c r="M101" s="263">
        <f t="shared" ca="1" si="16"/>
        <v>131822.80107032057</v>
      </c>
      <c r="N101" s="263">
        <f t="shared" ca="1" si="16"/>
        <v>130172.29688306224</v>
      </c>
      <c r="O101" s="256"/>
    </row>
    <row r="102" spans="1:17" s="46" customFormat="1" ht="15" hidden="1" customHeight="1" outlineLevel="1">
      <c r="B102" s="255" t="s">
        <v>125</v>
      </c>
      <c r="D102" s="47"/>
      <c r="E102" s="47"/>
      <c r="F102" s="273" t="s">
        <v>124</v>
      </c>
      <c r="G102" s="134"/>
      <c r="H102" s="271">
        <v>0</v>
      </c>
      <c r="I102" s="271">
        <v>0</v>
      </c>
      <c r="J102" s="271">
        <v>0</v>
      </c>
      <c r="K102" s="271">
        <v>0</v>
      </c>
      <c r="L102" s="271">
        <v>0</v>
      </c>
      <c r="M102" s="271">
        <v>0</v>
      </c>
      <c r="N102" s="270">
        <f>(N98*C94)/(1+C95)^F103</f>
        <v>3894615.4295969089</v>
      </c>
      <c r="O102" s="256"/>
    </row>
    <row r="103" spans="1:17" s="37" customFormat="1" ht="15" hidden="1" customHeight="1" outlineLevel="1">
      <c r="A103" s="46"/>
      <c r="B103" s="255" t="s">
        <v>117</v>
      </c>
      <c r="C103" s="46"/>
      <c r="D103" s="254"/>
      <c r="E103" s="254"/>
      <c r="F103" s="272">
        <f>YEARFRAC(N95,N94)</f>
        <v>0</v>
      </c>
      <c r="G103" s="134"/>
      <c r="H103" s="263">
        <f t="shared" ref="H103:N103" si="17">SUM(H101:H102)</f>
        <v>0</v>
      </c>
      <c r="I103" s="263">
        <f t="shared" ca="1" si="17"/>
        <v>112360.89364601109</v>
      </c>
      <c r="J103" s="263">
        <f t="shared" ca="1" si="17"/>
        <v>121173.01953999582</v>
      </c>
      <c r="K103" s="263">
        <f t="shared" ca="1" si="17"/>
        <v>125735.18666456848</v>
      </c>
      <c r="L103" s="263">
        <f t="shared" ca="1" si="17"/>
        <v>128851.36442589061</v>
      </c>
      <c r="M103" s="263">
        <f t="shared" ca="1" si="17"/>
        <v>131822.80107032057</v>
      </c>
      <c r="N103" s="263">
        <f t="shared" ca="1" si="17"/>
        <v>4024787.7264799713</v>
      </c>
      <c r="O103" s="256"/>
      <c r="P103" s="46"/>
      <c r="Q103" s="46"/>
    </row>
    <row r="104" spans="1:17" s="37" customFormat="1" ht="15" hidden="1" customHeight="1" outlineLevel="1">
      <c r="A104" s="46"/>
      <c r="B104" s="250"/>
      <c r="C104" s="46"/>
      <c r="D104" s="47"/>
      <c r="E104" s="47"/>
      <c r="F104" s="266"/>
      <c r="G104" s="266"/>
      <c r="H104" s="266"/>
      <c r="I104" s="266"/>
      <c r="J104" s="266"/>
      <c r="K104" s="266"/>
      <c r="L104" s="266"/>
      <c r="M104" s="27"/>
      <c r="N104" s="27"/>
      <c r="O104" s="256"/>
      <c r="P104" s="46"/>
      <c r="Q104" s="46"/>
    </row>
    <row r="105" spans="1:17" s="37" customFormat="1" ht="15" hidden="1" customHeight="1" outlineLevel="1">
      <c r="A105" s="46"/>
      <c r="B105" s="250" t="s">
        <v>123</v>
      </c>
      <c r="C105" s="46"/>
      <c r="D105" s="47"/>
      <c r="E105" s="47"/>
      <c r="F105" s="266"/>
      <c r="G105" s="266"/>
      <c r="H105" s="265"/>
      <c r="I105" s="264"/>
      <c r="J105" s="264"/>
      <c r="K105" s="264"/>
      <c r="L105" s="264"/>
      <c r="M105" s="264"/>
      <c r="N105" s="264"/>
      <c r="O105" s="256"/>
      <c r="P105" s="46"/>
      <c r="Q105" s="27"/>
    </row>
    <row r="106" spans="1:17" s="37" customFormat="1" ht="15" hidden="1" customHeight="1" outlineLevel="1">
      <c r="A106" s="46"/>
      <c r="B106" s="255" t="s">
        <v>122</v>
      </c>
      <c r="C106" s="46"/>
      <c r="D106" s="47"/>
      <c r="E106" s="47"/>
      <c r="F106" s="266"/>
      <c r="G106" s="266"/>
      <c r="H106" s="265">
        <v>0</v>
      </c>
      <c r="I106" s="264">
        <f t="shared" ref="I106:N106" si="18">YEARFRAC(I94,H94)</f>
        <v>0.46388888888888891</v>
      </c>
      <c r="J106" s="264">
        <f t="shared" si="18"/>
        <v>1</v>
      </c>
      <c r="K106" s="264">
        <f t="shared" si="18"/>
        <v>1</v>
      </c>
      <c r="L106" s="264">
        <f t="shared" si="18"/>
        <v>1</v>
      </c>
      <c r="M106" s="264">
        <f t="shared" si="18"/>
        <v>1</v>
      </c>
      <c r="N106" s="264">
        <f t="shared" si="18"/>
        <v>1</v>
      </c>
      <c r="O106" s="256"/>
      <c r="P106" s="46"/>
      <c r="Q106" s="27"/>
    </row>
    <row r="107" spans="1:17" s="37" customFormat="1" ht="15" hidden="1" customHeight="1" outlineLevel="1">
      <c r="A107" s="46"/>
      <c r="B107" s="255"/>
      <c r="C107" s="46"/>
      <c r="D107" s="47"/>
      <c r="E107" s="47"/>
      <c r="F107" s="266"/>
      <c r="G107" s="266"/>
      <c r="H107" s="265"/>
      <c r="I107" s="264"/>
      <c r="J107" s="264"/>
      <c r="K107" s="264"/>
      <c r="L107" s="264"/>
      <c r="M107" s="264"/>
      <c r="N107" s="264"/>
      <c r="O107" s="256"/>
      <c r="P107" s="46"/>
      <c r="Q107" s="27"/>
    </row>
    <row r="108" spans="1:17" s="37" customFormat="1" ht="15" hidden="1" customHeight="1" outlineLevel="1">
      <c r="A108" s="46"/>
      <c r="B108" s="111" t="s">
        <v>119</v>
      </c>
      <c r="C108" s="46"/>
      <c r="D108" s="47"/>
      <c r="E108" s="47"/>
      <c r="F108" s="266"/>
      <c r="G108" s="266"/>
      <c r="H108" s="265">
        <v>0</v>
      </c>
      <c r="I108" s="263">
        <f t="shared" ref="I108:N109" ca="1" si="19">I101*I$106</f>
        <v>52122.970108010697</v>
      </c>
      <c r="J108" s="263">
        <f t="shared" ca="1" si="19"/>
        <v>121173.01953999582</v>
      </c>
      <c r="K108" s="263">
        <f t="shared" ca="1" si="19"/>
        <v>125735.18666456848</v>
      </c>
      <c r="L108" s="263">
        <f t="shared" ca="1" si="19"/>
        <v>128851.36442589061</v>
      </c>
      <c r="M108" s="263">
        <f t="shared" ca="1" si="19"/>
        <v>131822.80107032057</v>
      </c>
      <c r="N108" s="263">
        <f t="shared" ca="1" si="19"/>
        <v>130172.29688306224</v>
      </c>
      <c r="O108" s="256"/>
      <c r="P108" s="46"/>
      <c r="Q108" s="27"/>
    </row>
    <row r="109" spans="1:17" s="37" customFormat="1" ht="15" hidden="1" customHeight="1" outlineLevel="1">
      <c r="A109" s="46"/>
      <c r="B109" s="111" t="s">
        <v>118</v>
      </c>
      <c r="C109" s="46"/>
      <c r="D109" s="47"/>
      <c r="E109" s="47"/>
      <c r="F109" s="266"/>
      <c r="G109" s="266"/>
      <c r="H109" s="271">
        <v>0</v>
      </c>
      <c r="I109" s="270">
        <f t="shared" si="19"/>
        <v>0</v>
      </c>
      <c r="J109" s="270">
        <f t="shared" si="19"/>
        <v>0</v>
      </c>
      <c r="K109" s="270">
        <f t="shared" si="19"/>
        <v>0</v>
      </c>
      <c r="L109" s="270">
        <f t="shared" si="19"/>
        <v>0</v>
      </c>
      <c r="M109" s="270">
        <f t="shared" si="19"/>
        <v>0</v>
      </c>
      <c r="N109" s="270">
        <f t="shared" si="19"/>
        <v>3894615.4295969089</v>
      </c>
      <c r="O109" s="256"/>
      <c r="P109" s="46"/>
      <c r="Q109" s="27"/>
    </row>
    <row r="110" spans="1:17" s="37" customFormat="1" ht="15" hidden="1" customHeight="1" outlineLevel="1">
      <c r="A110" s="46"/>
      <c r="B110" s="111" t="s">
        <v>117</v>
      </c>
      <c r="C110" s="46"/>
      <c r="D110" s="47"/>
      <c r="E110" s="47"/>
      <c r="F110" s="266"/>
      <c r="G110" s="266"/>
      <c r="H110" s="263">
        <f t="shared" ref="H110:N110" si="20">SUM(H108:H109)</f>
        <v>0</v>
      </c>
      <c r="I110" s="263">
        <f t="shared" ca="1" si="20"/>
        <v>52122.970108010697</v>
      </c>
      <c r="J110" s="263">
        <f t="shared" ca="1" si="20"/>
        <v>121173.01953999582</v>
      </c>
      <c r="K110" s="263">
        <f t="shared" ca="1" si="20"/>
        <v>125735.18666456848</v>
      </c>
      <c r="L110" s="263">
        <f t="shared" ca="1" si="20"/>
        <v>128851.36442589061</v>
      </c>
      <c r="M110" s="263">
        <f t="shared" ca="1" si="20"/>
        <v>131822.80107032057</v>
      </c>
      <c r="N110" s="263">
        <f t="shared" ca="1" si="20"/>
        <v>4024787.7264799713</v>
      </c>
      <c r="O110" s="256"/>
      <c r="P110" s="46"/>
      <c r="Q110" s="27"/>
    </row>
    <row r="111" spans="1:17" s="37" customFormat="1" ht="15" hidden="1" customHeight="1" outlineLevel="1">
      <c r="A111" s="46"/>
      <c r="B111" s="255"/>
      <c r="C111" s="46"/>
      <c r="D111" s="47"/>
      <c r="E111" s="47"/>
      <c r="F111" s="266"/>
      <c r="G111" s="266"/>
      <c r="H111" s="265"/>
      <c r="I111" s="264"/>
      <c r="J111" s="264"/>
      <c r="K111" s="264"/>
      <c r="L111" s="264"/>
      <c r="M111" s="264"/>
      <c r="N111" s="264"/>
      <c r="O111" s="256"/>
      <c r="P111" s="46"/>
      <c r="Q111" s="27"/>
    </row>
    <row r="112" spans="1:17" s="37" customFormat="1" ht="15" hidden="1" customHeight="1" outlineLevel="1">
      <c r="A112" s="46"/>
      <c r="B112" s="250" t="s">
        <v>121</v>
      </c>
      <c r="C112" s="46"/>
      <c r="D112" s="47"/>
      <c r="E112" s="47"/>
      <c r="F112" s="266"/>
      <c r="G112" s="266"/>
      <c r="H112" s="265"/>
      <c r="I112" s="264"/>
      <c r="J112" s="264"/>
      <c r="K112" s="264"/>
      <c r="L112" s="264"/>
      <c r="M112" s="264"/>
      <c r="N112" s="264"/>
      <c r="O112" s="256"/>
      <c r="P112" s="46"/>
      <c r="Q112" s="27"/>
    </row>
    <row r="113" spans="1:17" s="37" customFormat="1" ht="15" hidden="1" customHeight="1" outlineLevel="1">
      <c r="A113" s="46"/>
      <c r="B113" s="255" t="s">
        <v>120</v>
      </c>
      <c r="C113" s="46"/>
      <c r="D113" s="47"/>
      <c r="E113" s="47"/>
      <c r="F113" s="266"/>
      <c r="G113" s="266"/>
      <c r="H113" s="139">
        <v>0</v>
      </c>
      <c r="I113" s="137">
        <f t="shared" ref="I113:N113" si="21">H113+YEARFRAC(H95,I95)</f>
        <v>0.46388888888888891</v>
      </c>
      <c r="J113" s="137">
        <f t="shared" si="21"/>
        <v>1.463888888888889</v>
      </c>
      <c r="K113" s="137">
        <f t="shared" si="21"/>
        <v>2.463888888888889</v>
      </c>
      <c r="L113" s="137">
        <f t="shared" si="21"/>
        <v>3.463888888888889</v>
      </c>
      <c r="M113" s="137">
        <f t="shared" si="21"/>
        <v>4.4638888888888886</v>
      </c>
      <c r="N113" s="137">
        <f t="shared" si="21"/>
        <v>5.4638888888888886</v>
      </c>
      <c r="O113" s="256"/>
      <c r="P113" s="46"/>
      <c r="Q113" s="27"/>
    </row>
    <row r="114" spans="1:17" s="37" customFormat="1" ht="15" hidden="1" customHeight="1" outlineLevel="1">
      <c r="A114" s="46"/>
      <c r="B114" s="255"/>
      <c r="C114" s="46"/>
      <c r="D114" s="47"/>
      <c r="E114" s="47"/>
      <c r="F114" s="266"/>
      <c r="G114" s="266"/>
      <c r="H114" s="139"/>
      <c r="I114" s="137"/>
      <c r="J114" s="137"/>
      <c r="K114" s="137"/>
      <c r="L114" s="137"/>
      <c r="M114" s="137"/>
      <c r="N114" s="137"/>
      <c r="O114" s="256"/>
      <c r="P114" s="46"/>
      <c r="Q114" s="27"/>
    </row>
    <row r="115" spans="1:17" s="37" customFormat="1" ht="15" hidden="1" customHeight="1" outlineLevel="1">
      <c r="A115" s="46"/>
      <c r="B115" s="111" t="s">
        <v>119</v>
      </c>
      <c r="C115" s="46"/>
      <c r="D115" s="47"/>
      <c r="E115" s="47"/>
      <c r="F115" s="266"/>
      <c r="G115" s="266"/>
      <c r="H115" s="269">
        <v>0</v>
      </c>
      <c r="I115" s="44">
        <f t="shared" ref="I115:N116" ca="1" si="22">I108/(1+$C$95)^I$113</f>
        <v>50173.469441474146</v>
      </c>
      <c r="J115" s="44">
        <f t="shared" ca="1" si="22"/>
        <v>107439.36574622928</v>
      </c>
      <c r="K115" s="44">
        <f t="shared" ca="1" si="22"/>
        <v>102689.69499711521</v>
      </c>
      <c r="L115" s="44">
        <f t="shared" ca="1" si="22"/>
        <v>96932.983993256727</v>
      </c>
      <c r="M115" s="44">
        <f t="shared" ca="1" si="22"/>
        <v>91345.177431106611</v>
      </c>
      <c r="N115" s="44">
        <f t="shared" ca="1" si="22"/>
        <v>83085.680957736186</v>
      </c>
      <c r="O115" s="256"/>
      <c r="P115" s="46"/>
      <c r="Q115" s="27"/>
    </row>
    <row r="116" spans="1:17" s="37" customFormat="1" ht="15" hidden="1" customHeight="1" outlineLevel="1">
      <c r="A116" s="46"/>
      <c r="B116" s="111" t="s">
        <v>118</v>
      </c>
      <c r="C116" s="46"/>
      <c r="D116" s="47"/>
      <c r="E116" s="47"/>
      <c r="F116" s="266"/>
      <c r="G116" s="266"/>
      <c r="H116" s="268">
        <v>0</v>
      </c>
      <c r="I116" s="267">
        <f t="shared" si="22"/>
        <v>0</v>
      </c>
      <c r="J116" s="267">
        <f t="shared" si="22"/>
        <v>0</v>
      </c>
      <c r="K116" s="267">
        <f t="shared" si="22"/>
        <v>0</v>
      </c>
      <c r="L116" s="267">
        <f t="shared" si="22"/>
        <v>0</v>
      </c>
      <c r="M116" s="267">
        <f t="shared" si="22"/>
        <v>0</v>
      </c>
      <c r="N116" s="267">
        <f t="shared" si="22"/>
        <v>2485834.4116586749</v>
      </c>
      <c r="O116" s="256"/>
      <c r="P116" s="46"/>
      <c r="Q116" s="27"/>
    </row>
    <row r="117" spans="1:17" s="37" customFormat="1" ht="15" hidden="1" customHeight="1" outlineLevel="1">
      <c r="A117" s="46"/>
      <c r="B117" s="111" t="s">
        <v>117</v>
      </c>
      <c r="C117" s="46"/>
      <c r="D117" s="47"/>
      <c r="E117" s="47"/>
      <c r="F117" s="266"/>
      <c r="G117" s="266"/>
      <c r="H117" s="263">
        <f t="shared" ref="H117:N117" si="23">SUM(H115:H116)</f>
        <v>0</v>
      </c>
      <c r="I117" s="263">
        <f t="shared" ca="1" si="23"/>
        <v>50173.469441474146</v>
      </c>
      <c r="J117" s="263">
        <f t="shared" ca="1" si="23"/>
        <v>107439.36574622928</v>
      </c>
      <c r="K117" s="263">
        <f t="shared" ca="1" si="23"/>
        <v>102689.69499711521</v>
      </c>
      <c r="L117" s="263">
        <f t="shared" ca="1" si="23"/>
        <v>96932.983993256727</v>
      </c>
      <c r="M117" s="263">
        <f t="shared" ca="1" si="23"/>
        <v>91345.177431106611</v>
      </c>
      <c r="N117" s="263">
        <f t="shared" ca="1" si="23"/>
        <v>2568920.0926164109</v>
      </c>
      <c r="O117" s="256"/>
      <c r="P117" s="46"/>
      <c r="Q117" s="27"/>
    </row>
    <row r="118" spans="1:17" s="37" customFormat="1" ht="15" hidden="1" customHeight="1" outlineLevel="1">
      <c r="A118" s="46"/>
      <c r="B118" s="111"/>
      <c r="C118" s="46"/>
      <c r="D118" s="47"/>
      <c r="E118" s="47"/>
      <c r="F118" s="266"/>
      <c r="G118" s="266"/>
      <c r="H118" s="265"/>
      <c r="I118" s="264"/>
      <c r="J118" s="264"/>
      <c r="K118" s="264"/>
      <c r="L118" s="264"/>
      <c r="M118" s="264"/>
      <c r="N118" s="264"/>
      <c r="O118" s="256"/>
      <c r="P118" s="46"/>
      <c r="Q118" s="46"/>
    </row>
    <row r="119" spans="1:17" s="37" customFormat="1" ht="15" hidden="1" customHeight="1" outlineLevel="1">
      <c r="A119" s="46"/>
      <c r="B119" s="255"/>
      <c r="C119" s="46"/>
      <c r="D119" s="254"/>
      <c r="E119" s="254"/>
      <c r="F119" s="134"/>
      <c r="G119" s="134"/>
      <c r="H119" s="263"/>
      <c r="I119" s="263"/>
      <c r="J119" s="263"/>
      <c r="K119" s="263"/>
      <c r="L119" s="263"/>
      <c r="M119" s="263"/>
      <c r="N119" s="263"/>
      <c r="O119" s="256"/>
      <c r="P119" s="46"/>
      <c r="Q119" s="46"/>
    </row>
    <row r="120" spans="1:17" s="37" customFormat="1" ht="15" hidden="1" customHeight="1" outlineLevel="1">
      <c r="A120" s="46"/>
      <c r="B120" s="250"/>
      <c r="C120" s="46"/>
      <c r="D120" s="47"/>
      <c r="E120" s="47"/>
      <c r="F120" s="250" t="s">
        <v>116</v>
      </c>
      <c r="G120" s="45"/>
      <c r="H120" s="262"/>
      <c r="I120" s="134"/>
      <c r="J120" s="42" t="s">
        <v>116</v>
      </c>
      <c r="K120" s="261"/>
      <c r="L120" s="29"/>
      <c r="M120" s="29"/>
      <c r="N120" s="134"/>
      <c r="O120" s="256"/>
      <c r="P120" s="46"/>
      <c r="Q120" s="46"/>
    </row>
    <row r="121" spans="1:17" s="37" customFormat="1" ht="15" hidden="1" customHeight="1" outlineLevel="1">
      <c r="A121" s="46"/>
      <c r="B121" s="255"/>
      <c r="C121" s="46"/>
      <c r="D121" s="47"/>
      <c r="E121" s="47"/>
      <c r="F121" s="249" t="s">
        <v>115</v>
      </c>
      <c r="G121" s="260"/>
      <c r="H121" s="247">
        <f ca="1">SUM(I117:N117)</f>
        <v>3017500.7842255929</v>
      </c>
      <c r="I121" s="44"/>
      <c r="J121" s="259" t="s">
        <v>114</v>
      </c>
      <c r="K121" s="258"/>
      <c r="L121" s="257">
        <f ca="1">M121/$M$123</f>
        <v>0.17619427817426869</v>
      </c>
      <c r="M121" s="247">
        <f ca="1">SUM(I115:N115)</f>
        <v>531666.37256691814</v>
      </c>
      <c r="N121" s="44"/>
      <c r="O121" s="256"/>
      <c r="P121" s="46"/>
      <c r="Q121" s="46"/>
    </row>
    <row r="122" spans="1:17" s="37" customFormat="1" ht="15" hidden="1" customHeight="1" outlineLevel="1">
      <c r="A122" s="27"/>
      <c r="B122" s="255"/>
      <c r="C122" s="27"/>
      <c r="D122" s="254"/>
      <c r="E122" s="254"/>
      <c r="F122" s="241" t="s">
        <v>113</v>
      </c>
      <c r="G122" s="28"/>
      <c r="H122" s="242">
        <f ca="1">XNPV(C95,H110:N110,H95:N95)</f>
        <v>3016394.8090397245</v>
      </c>
      <c r="I122" s="44"/>
      <c r="J122" s="246" t="s">
        <v>112</v>
      </c>
      <c r="K122" s="29"/>
      <c r="L122" s="251">
        <f ca="1">M122/$M$123</f>
        <v>0.8238057218257312</v>
      </c>
      <c r="M122" s="242">
        <f>SUM(I116:N116)</f>
        <v>2485834.4116586749</v>
      </c>
      <c r="N122" s="44"/>
      <c r="O122" s="27"/>
      <c r="P122" s="27"/>
      <c r="Q122" s="46"/>
    </row>
    <row r="123" spans="1:17" s="37" customFormat="1" ht="15" hidden="1" customHeight="1" outlineLevel="1">
      <c r="A123" s="27"/>
      <c r="B123" s="27"/>
      <c r="C123" s="27"/>
      <c r="D123" s="27"/>
      <c r="E123" s="27"/>
      <c r="F123" s="27"/>
      <c r="G123" s="27"/>
      <c r="H123" s="27"/>
      <c r="I123" s="27"/>
      <c r="J123" s="253" t="s">
        <v>109</v>
      </c>
      <c r="K123" s="252"/>
      <c r="L123" s="251">
        <f ca="1">M123/$M$123</f>
        <v>1</v>
      </c>
      <c r="M123" s="242">
        <f ca="1">SUM(M121:M122)</f>
        <v>3017500.7842255933</v>
      </c>
      <c r="N123" s="27"/>
      <c r="O123" s="27"/>
      <c r="P123" s="27"/>
      <c r="Q123" s="46"/>
    </row>
    <row r="124" spans="1:17" s="37" customFormat="1" ht="15" hidden="1" customHeight="1" outlineLevel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46"/>
    </row>
    <row r="125" spans="1:17" s="37" customFormat="1" ht="15" hidden="1" customHeight="1" outlineLevel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46"/>
    </row>
    <row r="126" spans="1:17" s="37" customFormat="1" ht="15" hidden="1" customHeight="1" outlineLevel="1">
      <c r="A126" s="27"/>
      <c r="B126" s="27"/>
      <c r="C126" s="27"/>
      <c r="D126" s="27"/>
      <c r="E126" s="27"/>
      <c r="F126" s="250" t="s">
        <v>111</v>
      </c>
      <c r="G126" s="134"/>
      <c r="H126" s="27"/>
      <c r="I126" s="27"/>
      <c r="J126" s="250" t="s">
        <v>110</v>
      </c>
      <c r="K126" s="134"/>
      <c r="L126" s="27"/>
      <c r="M126" s="27"/>
      <c r="N126" s="27"/>
      <c r="O126" s="27"/>
      <c r="P126" s="27"/>
      <c r="Q126" s="46"/>
    </row>
    <row r="127" spans="1:17" s="46" customFormat="1" ht="15" hidden="1" customHeight="1" outlineLevel="1">
      <c r="A127" s="27"/>
      <c r="B127" s="27"/>
      <c r="C127" s="27"/>
      <c r="D127" s="27"/>
      <c r="E127" s="27"/>
      <c r="F127" s="249" t="s">
        <v>109</v>
      </c>
      <c r="G127" s="248"/>
      <c r="H127" s="247">
        <f ca="1">H122</f>
        <v>3016394.8090397245</v>
      </c>
      <c r="I127" s="27"/>
      <c r="J127" s="249" t="s">
        <v>14</v>
      </c>
      <c r="K127" s="248"/>
      <c r="L127" s="248"/>
      <c r="M127" s="247">
        <f ca="1">H129</f>
        <v>3070680.8090397245</v>
      </c>
      <c r="N127" s="27"/>
      <c r="O127" s="27"/>
      <c r="P127" s="27"/>
    </row>
    <row r="128" spans="1:17" s="46" customFormat="1" ht="15" hidden="1" customHeight="1" outlineLevel="1">
      <c r="A128" s="27"/>
      <c r="B128" s="27"/>
      <c r="C128" s="27"/>
      <c r="D128" s="27"/>
      <c r="E128" s="27"/>
      <c r="F128" s="246" t="s">
        <v>108</v>
      </c>
      <c r="G128" s="27"/>
      <c r="H128" s="243">
        <f>-Inputs!L107</f>
        <v>54286</v>
      </c>
      <c r="I128" s="27"/>
      <c r="J128" s="245" t="s">
        <v>17</v>
      </c>
      <c r="K128" s="27"/>
      <c r="L128" s="244"/>
      <c r="M128" s="243">
        <f>Inputs!F114</f>
        <v>14776</v>
      </c>
      <c r="N128" s="27"/>
      <c r="O128" s="27"/>
      <c r="P128" s="27"/>
    </row>
    <row r="129" spans="1:17" s="46" customFormat="1" ht="15" hidden="1" customHeight="1" outlineLevel="1">
      <c r="A129" s="27"/>
      <c r="B129" s="27"/>
      <c r="C129" s="27"/>
      <c r="D129" s="27"/>
      <c r="E129" s="27"/>
      <c r="F129" s="241" t="s">
        <v>14</v>
      </c>
      <c r="G129" s="28"/>
      <c r="H129" s="242">
        <f ca="1">SUM(H127:H128)</f>
        <v>3070680.8090397245</v>
      </c>
      <c r="I129" s="27"/>
      <c r="J129" s="241" t="s">
        <v>14</v>
      </c>
      <c r="K129" s="28"/>
      <c r="L129" s="240" t="s">
        <v>107</v>
      </c>
      <c r="M129" s="239">
        <f ca="1">M127/M128</f>
        <v>207.81543103950492</v>
      </c>
      <c r="N129" s="27"/>
      <c r="O129" s="27"/>
      <c r="P129" s="27"/>
    </row>
    <row r="130" spans="1:17" ht="15" hidden="1" customHeight="1" outlineLevel="1">
      <c r="C130" s="134"/>
      <c r="Q130" s="46"/>
    </row>
    <row r="131" spans="1:17" s="46" customFormat="1" ht="15" hidden="1" customHeight="1" outlineLevel="1">
      <c r="A131" s="27"/>
      <c r="C131" s="53"/>
      <c r="D131" s="47"/>
      <c r="E131" s="47"/>
      <c r="F131" s="47"/>
      <c r="G131" s="47"/>
      <c r="H131" s="47"/>
      <c r="I131" s="49"/>
      <c r="J131" s="49"/>
      <c r="K131" s="49"/>
      <c r="L131" s="49"/>
      <c r="M131" s="30" t="s">
        <v>106</v>
      </c>
      <c r="O131" s="34"/>
      <c r="P131" s="27"/>
    </row>
    <row r="132" spans="1:17" s="37" customFormat="1" ht="15" hidden="1" customHeight="1" outlineLevel="1">
      <c r="A132" s="27"/>
      <c r="B132" s="46"/>
      <c r="C132" s="53"/>
      <c r="D132" s="47"/>
      <c r="E132" s="47"/>
      <c r="F132" s="47"/>
      <c r="G132" s="47"/>
      <c r="H132" s="47"/>
      <c r="I132" s="49"/>
      <c r="J132" s="49"/>
      <c r="K132" s="49"/>
      <c r="L132" s="49"/>
      <c r="M132" s="238" t="s">
        <v>105</v>
      </c>
      <c r="N132" s="46"/>
      <c r="O132" s="34"/>
      <c r="P132" s="27"/>
      <c r="Q132" s="46"/>
    </row>
    <row r="133" spans="1:17" s="37" customFormat="1" ht="15" hidden="1" customHeight="1" outlineLevel="1">
      <c r="A133" s="46"/>
      <c r="B133" s="46"/>
      <c r="C133" s="53"/>
      <c r="D133" s="47"/>
      <c r="E133" s="47"/>
      <c r="F133" s="47"/>
      <c r="G133" s="47"/>
      <c r="H133" s="47"/>
      <c r="I133" s="49"/>
      <c r="J133" s="49"/>
      <c r="K133" s="49"/>
      <c r="L133" s="49"/>
      <c r="M133" s="46"/>
      <c r="N133" s="46"/>
      <c r="O133" s="34"/>
      <c r="P133" s="46"/>
      <c r="Q133" s="46"/>
    </row>
    <row r="134" spans="1:17" s="37" customFormat="1" ht="15" hidden="1" customHeight="1" outlineLevel="1">
      <c r="A134" s="46"/>
      <c r="B134" s="237"/>
      <c r="C134" s="122"/>
      <c r="D134" s="236"/>
      <c r="E134" s="236"/>
      <c r="F134" s="236"/>
      <c r="G134" s="236"/>
      <c r="H134" s="236"/>
      <c r="I134" s="235"/>
      <c r="J134" s="235"/>
      <c r="K134" s="235"/>
      <c r="L134" s="235"/>
      <c r="M134" s="235"/>
      <c r="N134" s="235" t="s">
        <v>0</v>
      </c>
      <c r="O134" s="46"/>
      <c r="P134" s="46"/>
      <c r="Q134" s="46"/>
    </row>
    <row r="135" spans="1:17" s="37" customFormat="1" ht="15" hidden="1" customHeight="1" outlineLevel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46"/>
    </row>
    <row r="136" spans="1:17" s="37" customFormat="1" ht="15" customHeight="1" collapsed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46"/>
    </row>
    <row r="137" spans="1:17" s="37" customFormat="1" ht="1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46"/>
    </row>
    <row r="138" spans="1:17" s="37" customFormat="1" ht="1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46"/>
    </row>
    <row r="139" spans="1:17" s="37" customFormat="1" ht="1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46"/>
    </row>
    <row r="140" spans="1:17" s="37" customFormat="1" ht="1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46"/>
    </row>
    <row r="141" spans="1:17" s="37" customFormat="1" ht="1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46"/>
    </row>
    <row r="142" spans="1:17" s="37" customFormat="1" ht="1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46"/>
    </row>
    <row r="143" spans="1:17" s="37" customFormat="1" ht="1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46"/>
    </row>
    <row r="144" spans="1:17" s="37" customFormat="1" ht="1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46"/>
    </row>
    <row r="145" spans="1:17" s="37" customFormat="1" ht="1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46"/>
    </row>
    <row r="146" spans="1:17" s="37" customFormat="1" ht="1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46"/>
    </row>
    <row r="147" spans="1:17" s="37" customFormat="1" ht="1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46"/>
    </row>
    <row r="148" spans="1:17" s="37" customFormat="1" ht="1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46"/>
    </row>
    <row r="149" spans="1:17" s="37" customFormat="1" ht="1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46"/>
    </row>
    <row r="150" spans="1:17" s="37" customFormat="1" ht="1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46"/>
    </row>
    <row r="151" spans="1:17" s="37" customFormat="1" ht="1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46"/>
    </row>
    <row r="152" spans="1:17" s="37" customFormat="1" ht="1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46"/>
    </row>
    <row r="153" spans="1:17" s="37" customFormat="1" ht="1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46"/>
    </row>
    <row r="154" spans="1:17" s="37" customFormat="1" ht="1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46"/>
    </row>
    <row r="155" spans="1:17" s="37" customFormat="1" ht="1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r="156" spans="1:17" s="37" customFormat="1" ht="1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r="157" spans="1:17" s="37" customFormat="1" ht="1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r="158" spans="1:17" s="46" customFormat="1" ht="1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r="159" spans="1:17" s="37" customFormat="1" ht="1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r="160" spans="1:17" s="37" customFormat="1" ht="1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r="161" spans="1:17" s="37" customFormat="1" ht="1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r="162" spans="1:17" s="46" customFormat="1" ht="1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r="163" spans="1:17" s="46" customFormat="1" ht="1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r="164" spans="1:17" s="46" customFormat="1" ht="1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6" spans="1:17" s="46" customFormat="1" ht="1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</row>
    <row r="167" spans="1:17" s="46" customFormat="1" ht="1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7" s="46" customFormat="1" ht="1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r="169" spans="1:17" s="46" customFormat="1" ht="1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r="170" spans="1:17" s="46" customFormat="1" ht="1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r="171" spans="1:17" s="46" customFormat="1" ht="1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r="172" spans="1:17" s="46" customFormat="1" ht="1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r="173" spans="1:17" s="46" customFormat="1" ht="1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r="174" spans="1:17" s="46" customFormat="1" ht="1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r="175" spans="1:17" s="46" customFormat="1" ht="1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r="176" spans="1:17" s="46" customFormat="1" ht="1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r="177" spans="1:17" s="46" customFormat="1" ht="1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r="178" spans="1:17" s="46" customFormat="1" ht="1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r="179" spans="1:17" s="46" customFormat="1" ht="1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r="180" spans="1:17" s="46" customFormat="1" ht="1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r="181" spans="1:17" s="46" customFormat="1" ht="1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r="182" spans="1:17" s="46" customFormat="1" ht="1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r="183" spans="1:17" s="46" customFormat="1" ht="1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r="184" spans="1:17" s="46" customFormat="1" ht="1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r="185" spans="1:17" s="46" customFormat="1" ht="1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r="186" spans="1:17" s="46" customFormat="1" ht="1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r="187" spans="1:17" s="46" customFormat="1" ht="1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r="188" spans="1:17" s="46" customFormat="1" ht="1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r="189" spans="1:17" s="46" customFormat="1" ht="1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r="190" spans="1:17" s="46" customFormat="1" ht="1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r="191" spans="1:17" s="46" customFormat="1" ht="1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r="192" spans="1:17" s="46" customFormat="1" ht="1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r="193" spans="1:17" s="46" customFormat="1" ht="1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r="194" spans="1:17" s="46" customFormat="1" ht="1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r="195" spans="1:17" s="46" customFormat="1" ht="1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r="196" spans="1:17" s="46" customFormat="1" ht="1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r="197" spans="1:17" s="46" customFormat="1" ht="1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r="198" spans="1:17" s="46" customFormat="1" ht="1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r="199" spans="1:17" s="46" customFormat="1" ht="1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r="200" spans="1:17" s="46" customFormat="1" ht="1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  <row r="201" spans="1:17" s="46" customFormat="1" ht="1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</row>
    <row r="202" spans="1:17" s="46" customFormat="1" ht="1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</row>
    <row r="203" spans="1:17" s="46" customFormat="1" ht="1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</row>
    <row r="204" spans="1:17" s="46" customFormat="1" ht="1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</row>
    <row r="205" spans="1:17" s="46" customFormat="1" ht="1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</row>
    <row r="206" spans="1:17" s="46" customFormat="1" ht="1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</row>
    <row r="207" spans="1:17" s="46" customFormat="1" ht="1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</row>
    <row r="208" spans="1:17" s="46" customFormat="1" ht="1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</row>
    <row r="209" spans="1:17" s="46" customFormat="1" ht="1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</row>
    <row r="210" spans="1:17" s="46" customFormat="1" ht="1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</row>
    <row r="212" spans="1:17" s="46" customFormat="1" ht="1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</row>
    <row r="213" spans="1:17" s="46" customFormat="1" ht="1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 spans="1:17" s="46" customFormat="1" ht="1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</row>
    <row r="215" spans="1:17" s="46" customFormat="1" ht="1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</row>
    <row r="216" spans="1:17" s="46" customFormat="1" ht="1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</row>
    <row r="217" spans="1:17" s="46" customFormat="1" ht="1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</row>
    <row r="218" spans="1:17" s="46" customFormat="1" ht="1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</row>
    <row r="219" spans="1:17" s="46" customFormat="1" ht="1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</row>
    <row r="220" spans="1:17" s="46" customFormat="1" ht="1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</row>
    <row r="221" spans="1:17" s="46" customFormat="1" ht="1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</row>
    <row r="222" spans="1:17" s="46" customFormat="1" ht="1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</row>
    <row r="223" spans="1:17" s="46" customFormat="1" ht="1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</row>
    <row r="224" spans="1:17" s="46" customFormat="1" ht="1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</row>
    <row r="225" spans="1:17" s="46" customFormat="1" ht="1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</row>
    <row r="226" spans="1:17" s="46" customFormat="1" ht="1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</row>
    <row r="227" spans="1:17" s="46" customFormat="1" ht="1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</row>
    <row r="228" spans="1:17" s="46" customFormat="1" ht="1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</row>
    <row r="229" spans="1:17" s="46" customFormat="1" ht="1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</row>
    <row r="230" spans="1:17" s="46" customFormat="1" ht="1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</row>
    <row r="231" spans="1:17" s="46" customFormat="1" ht="1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</row>
    <row r="232" spans="1:17" s="46" customFormat="1" ht="1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</row>
    <row r="233" spans="1:17" s="46" customFormat="1" ht="1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</row>
    <row r="234" spans="1:17" s="46" customFormat="1" ht="1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</row>
    <row r="235" spans="1:17" s="46" customFormat="1" ht="1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</row>
    <row r="236" spans="1:17" s="46" customFormat="1" ht="1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</row>
    <row r="237" spans="1:17" s="46" customFormat="1" ht="1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 spans="1:17" s="46" customFormat="1" ht="1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  <row r="239" spans="1:17" s="46" customFormat="1" ht="1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</row>
    <row r="241" spans="1:17" s="46" customFormat="1" ht="1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</row>
    <row r="242" spans="1:17" s="46" customFormat="1" ht="1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</row>
    <row r="243" spans="1:17" s="46" customFormat="1" ht="1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</row>
    <row r="244" spans="1:17" s="46" customFormat="1" ht="1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</row>
    <row r="245" spans="1:17" s="46" customFormat="1" ht="1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</row>
    <row r="247" spans="1:17" s="46" customFormat="1" ht="1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</row>
    <row r="248" spans="1:17" s="46" customFormat="1" ht="1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</row>
    <row r="249" spans="1:17" s="46" customFormat="1" ht="1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</row>
    <row r="250" spans="1:17" s="46" customFormat="1" ht="1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</row>
    <row r="251" spans="1:17" s="46" customFormat="1" ht="1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</row>
    <row r="252" spans="1:17" s="46" customFormat="1" ht="1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</row>
    <row r="253" spans="1:17" s="46" customFormat="1" ht="1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</row>
    <row r="254" spans="1:17" s="46" customFormat="1" ht="1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</row>
    <row r="255" spans="1:17" s="46" customFormat="1" ht="1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</row>
    <row r="256" spans="1:17" s="46" customFormat="1" ht="1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</row>
    <row r="257" spans="1:17" s="46" customFormat="1" ht="1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</row>
    <row r="258" spans="1:17" s="46" customFormat="1" ht="1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</row>
    <row r="259" spans="1:17" s="46" customFormat="1" ht="1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</row>
    <row r="260" spans="1:17" s="46" customFormat="1" ht="1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</row>
    <row r="261" spans="1:17" s="46" customFormat="1" ht="1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</row>
    <row r="262" spans="1:17" s="46" customFormat="1" ht="1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</row>
    <row r="263" spans="1:17" s="46" customFormat="1" ht="1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</row>
    <row r="264" spans="1:17" s="46" customFormat="1" ht="1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</row>
    <row r="265" spans="1:17" s="46" customFormat="1" ht="1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</row>
    <row r="266" spans="1:17" s="46" customFormat="1" ht="1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</row>
    <row r="267" spans="1:17" s="46" customFormat="1" ht="1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</row>
    <row r="268" spans="1:17" s="46" customFormat="1" ht="1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</row>
    <row r="269" spans="1:17" s="46" customFormat="1" ht="1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</row>
    <row r="270" spans="1:17" s="46" customFormat="1" ht="1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</row>
    <row r="271" spans="1:17" s="46" customFormat="1" ht="1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</row>
    <row r="272" spans="1:17" s="46" customFormat="1" ht="1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</row>
    <row r="273" spans="1:17" s="37" customFormat="1" ht="1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</row>
    <row r="274" spans="1:17" s="46" customFormat="1" ht="1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</row>
    <row r="275" spans="1:17" s="46" customFormat="1" ht="1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</row>
    <row r="276" spans="1:17" s="46" customFormat="1" ht="1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</row>
    <row r="277" spans="1:17" s="46" customFormat="1" ht="1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</row>
    <row r="278" spans="1:17" s="46" customFormat="1" ht="1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</row>
    <row r="279" spans="1:17" s="46" customFormat="1" ht="1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</row>
    <row r="280" spans="1:17" s="46" customFormat="1" ht="1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</row>
    <row r="281" spans="1:17" s="46" customFormat="1" ht="1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</row>
    <row r="283" spans="1:17" s="46" customFormat="1" ht="1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</row>
    <row r="284" spans="1:17" s="46" customFormat="1" ht="1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</row>
    <row r="285" spans="1:17" s="46" customFormat="1" ht="1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</row>
    <row r="286" spans="1:17" s="46" customFormat="1" ht="1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</row>
    <row r="287" spans="1:17" s="46" customFormat="1" ht="1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</row>
    <row r="289" spans="1:17" s="46" customFormat="1" ht="1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</row>
    <row r="290" spans="1:17" s="46" customFormat="1" ht="1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</row>
    <row r="291" spans="1:17" s="46" customFormat="1" ht="1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</row>
    <row r="292" spans="1:17" s="46" customFormat="1" ht="1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</row>
    <row r="293" spans="1:17" s="46" customFormat="1" ht="1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</row>
    <row r="294" spans="1:17" s="46" customFormat="1" ht="1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</row>
    <row r="295" spans="1:17" s="46" customFormat="1" ht="1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</row>
    <row r="296" spans="1:17" s="46" customFormat="1" ht="1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</row>
    <row r="297" spans="1:17" s="46" customFormat="1" ht="1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</row>
    <row r="298" spans="1:17" s="46" customFormat="1" ht="1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</row>
    <row r="299" spans="1:17" s="46" customFormat="1" ht="1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</row>
    <row r="300" spans="1:17" s="46" customFormat="1" ht="1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</row>
    <row r="301" spans="1:17" s="46" customFormat="1" ht="1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</row>
    <row r="302" spans="1:17" s="46" customFormat="1" ht="1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</row>
    <row r="303" spans="1:17" s="46" customFormat="1" ht="1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</row>
    <row r="304" spans="1:17" s="46" customFormat="1" ht="1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</row>
    <row r="305" spans="1:17" s="46" customFormat="1" ht="1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</row>
    <row r="306" spans="1:17" s="46" customFormat="1" ht="1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</row>
    <row r="307" spans="1:17" s="46" customFormat="1" ht="1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</row>
    <row r="308" spans="1:17" s="46" customFormat="1" ht="1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</row>
    <row r="309" spans="1:17" s="46" customFormat="1" ht="1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</row>
    <row r="310" spans="1:17" s="46" customFormat="1" ht="1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</row>
    <row r="311" spans="1:17" s="46" customFormat="1" ht="1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</row>
    <row r="312" spans="1:17" s="46" customFormat="1" ht="1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</row>
    <row r="313" spans="1:17" s="46" customFormat="1" ht="1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</row>
    <row r="314" spans="1:17" s="46" customFormat="1" ht="1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</row>
    <row r="315" spans="1:17" s="46" customFormat="1" ht="1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</row>
    <row r="316" spans="1:17" s="46" customFormat="1" ht="1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</row>
    <row r="317" spans="1:17" s="46" customFormat="1" ht="1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</row>
    <row r="318" spans="1:17" s="46" customFormat="1" ht="1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</row>
    <row r="319" spans="1:17" s="46" customFormat="1" ht="1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</row>
    <row r="320" spans="1:17" s="46" customFormat="1" ht="1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</row>
    <row r="321" spans="1:17" s="46" customFormat="1" ht="1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</row>
    <row r="322" spans="1:17" s="46" customFormat="1" ht="1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</row>
    <row r="323" spans="1:17" s="46" customFormat="1" ht="1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</row>
    <row r="325" spans="1:17" s="46" customFormat="1" ht="1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</row>
    <row r="326" spans="1:17" s="46" customFormat="1" ht="1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</row>
    <row r="327" spans="1:17" s="46" customFormat="1" ht="1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</row>
    <row r="328" spans="1:17" s="46" customFormat="1" ht="1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</row>
    <row r="329" spans="1:17" s="46" customFormat="1" ht="1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</row>
    <row r="330" spans="1:17" s="46" customFormat="1" ht="1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</row>
    <row r="331" spans="1:17" s="46" customFormat="1" ht="1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</row>
    <row r="332" spans="1:17" s="46" customFormat="1" ht="1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</row>
    <row r="333" spans="1:17" s="46" customFormat="1" ht="1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</row>
    <row r="334" spans="1:17" s="46" customFormat="1" ht="1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</row>
    <row r="335" spans="1:17" s="46" customFormat="1" ht="1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</row>
    <row r="336" spans="1:17" s="46" customFormat="1" ht="1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</row>
    <row r="337" spans="1:17" s="46" customFormat="1" ht="1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</row>
    <row r="338" spans="1:17" s="46" customFormat="1" ht="1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</row>
    <row r="342" spans="1:17" s="46" customFormat="1" ht="1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</row>
    <row r="343" spans="1:17" s="46" customFormat="1" ht="1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</row>
    <row r="344" spans="1:17" s="46" customFormat="1" ht="1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</row>
    <row r="345" spans="1:17" s="46" customFormat="1" ht="1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</row>
    <row r="346" spans="1:17" s="46" customFormat="1" ht="1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</row>
    <row r="347" spans="1:17" s="46" customFormat="1" ht="1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</row>
    <row r="348" spans="1:17" s="46" customFormat="1" ht="1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</row>
    <row r="349" spans="1:17" s="46" customFormat="1" ht="1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</row>
    <row r="356" spans="1:17" s="46" customFormat="1" ht="1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</row>
    <row r="357" spans="1:17" s="46" customFormat="1" ht="1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</row>
    <row r="359" spans="1:17" s="37" customFormat="1" ht="1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</row>
    <row r="360" spans="1:17" s="46" customFormat="1" ht="1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</row>
    <row r="361" spans="1:17" s="46" customFormat="1" ht="1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</row>
    <row r="362" spans="1:17" s="46" customFormat="1" ht="1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</row>
    <row r="363" spans="1:17" s="46" customFormat="1" ht="1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</row>
    <row r="364" spans="1:17" s="46" customFormat="1" ht="1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</row>
    <row r="365" spans="1:17" s="46" customFormat="1" ht="1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</row>
    <row r="366" spans="1:17" s="46" customFormat="1" ht="1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</row>
    <row r="367" spans="1:17" s="46" customFormat="1" ht="1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</row>
    <row r="368" spans="1:17" s="46" customFormat="1" ht="1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</row>
    <row r="369" spans="1:17" s="46" customFormat="1" ht="1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</row>
    <row r="370" spans="1:17" s="46" customFormat="1" ht="1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</row>
    <row r="371" spans="1:17" s="46" customFormat="1" ht="1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</row>
    <row r="372" spans="1:17" s="46" customFormat="1" ht="1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</row>
    <row r="373" spans="1:17" s="46" customFormat="1" ht="1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</row>
    <row r="374" spans="1:17" s="46" customFormat="1" ht="1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</row>
    <row r="375" spans="1:17" s="46" customFormat="1" ht="1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</row>
    <row r="376" spans="1:17" s="46" customFormat="1" ht="1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</row>
    <row r="377" spans="1:17" s="46" customFormat="1" ht="1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</row>
    <row r="378" spans="1:17" s="46" customFormat="1" ht="1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</row>
    <row r="379" spans="1:17" s="46" customFormat="1" ht="6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</row>
    <row r="380" spans="1:17" s="46" customFormat="1" ht="1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</row>
    <row r="381" spans="1:17" s="46" customFormat="1" ht="1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</row>
    <row r="382" spans="1:17" s="46" customFormat="1" ht="1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</row>
    <row r="383" spans="1:17" s="46" customFormat="1" ht="1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</row>
    <row r="384" spans="1:17" s="46" customFormat="1" ht="1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</row>
    <row r="385" spans="1:17" s="46" customFormat="1" ht="1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</row>
    <row r="386" spans="1:17" s="46" customFormat="1" ht="6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</row>
    <row r="387" spans="1:17" s="46" customFormat="1" ht="1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</row>
    <row r="388" spans="1:17" s="46" customFormat="1" ht="1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</row>
    <row r="389" spans="1:17" s="46" customFormat="1" ht="1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</row>
    <row r="390" spans="1:17" s="46" customFormat="1" ht="1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</row>
    <row r="404" spans="1:17" s="46" customFormat="1" ht="1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</row>
    <row r="405" spans="1:17" s="46" customFormat="1" ht="1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</row>
    <row r="406" spans="1:17" s="46" customFormat="1" ht="1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</row>
    <row r="407" spans="1:17" s="46" customFormat="1" ht="1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</row>
    <row r="408" spans="1:17" s="46" customFormat="1" ht="1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</row>
    <row r="409" spans="1:17" s="46" customFormat="1" ht="1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</row>
    <row r="410" spans="1:17" s="46" customFormat="1" ht="1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</row>
    <row r="411" spans="1:17" s="46" customFormat="1" ht="1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</row>
    <row r="412" spans="1:17" s="46" customFormat="1" ht="1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</row>
    <row r="413" spans="1:17" s="46" customFormat="1" ht="1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</row>
    <row r="414" spans="1:17" s="46" customFormat="1" ht="1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</row>
    <row r="415" spans="1:17" s="46" customFormat="1" ht="1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</row>
    <row r="416" spans="1:17" s="46" customFormat="1" ht="1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</row>
    <row r="417" spans="1:17" s="46" customFormat="1" ht="1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</row>
    <row r="418" spans="1:17" s="46" customFormat="1" ht="1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</row>
    <row r="419" spans="1:17" s="46" customFormat="1" ht="1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</row>
    <row r="420" spans="1:17" s="46" customFormat="1" ht="1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</row>
    <row r="421" spans="1:17" s="46" customFormat="1" ht="1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</row>
    <row r="422" spans="1:17" s="46" customFormat="1" ht="1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</row>
    <row r="423" spans="1:17" s="46" customFormat="1" ht="1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</row>
    <row r="424" spans="1:17" s="46" customFormat="1" ht="1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</row>
    <row r="425" spans="1:17" s="46" customFormat="1" ht="1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</row>
    <row r="426" spans="1:17" s="46" customFormat="1" ht="6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</row>
    <row r="427" spans="1:17" s="46" customFormat="1" ht="1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</row>
    <row r="428" spans="1:17" s="46" customFormat="1" ht="1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</row>
    <row r="429" spans="1:17" s="46" customFormat="1" ht="1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</row>
    <row r="430" spans="1:17" s="46" customFormat="1" ht="1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</row>
    <row r="431" spans="1:17" s="46" customFormat="1" ht="1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</row>
    <row r="432" spans="1:17" s="46" customFormat="1" ht="1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</row>
    <row r="433" spans="1:17" s="46" customFormat="1" ht="6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</row>
    <row r="434" spans="1:17" s="46" customFormat="1" ht="1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</row>
    <row r="435" spans="1:17" s="46" customFormat="1" ht="1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</row>
    <row r="436" spans="1:17" s="46" customFormat="1" ht="1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</row>
    <row r="437" spans="1:17" s="46" customFormat="1" ht="1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</row>
    <row r="438" spans="1:17" s="46" customFormat="1" ht="1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</row>
    <row r="439" spans="1:17" s="46" customFormat="1" ht="1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</row>
    <row r="440" spans="1:17" s="46" customFormat="1" ht="1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</row>
    <row r="452" spans="1:17" s="46" customFormat="1" ht="1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</row>
    <row r="453" spans="1:17" s="46" customFormat="1" ht="1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</row>
  </sheetData>
  <mergeCells count="1">
    <mergeCell ref="B1:C1"/>
  </mergeCells>
  <conditionalFormatting sqref="I34:N34">
    <cfRule type="expression" dxfId="0" priority="1">
      <formula>I34=1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Summary_Sheet</vt:lpstr>
      <vt:lpstr>Inputs</vt:lpstr>
      <vt:lpstr>Model</vt:lpstr>
      <vt:lpstr>DCF</vt:lpstr>
      <vt:lpstr>Cover!Print_Area</vt:lpstr>
      <vt:lpstr>Inputs!Print_Area</vt:lpstr>
      <vt:lpstr>Model!Print_Area</vt:lpstr>
      <vt:lpstr>Summary_Sheet!Print_Area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Singh</dc:creator>
  <cp:keywords/>
  <dc:description/>
  <cp:lastModifiedBy>Devendra Singh Rathore</cp:lastModifiedBy>
  <cp:revision/>
  <dcterms:created xsi:type="dcterms:W3CDTF">1899-12-30T05:00:00Z</dcterms:created>
  <dcterms:modified xsi:type="dcterms:W3CDTF">2026-04-18T15:15:08Z</dcterms:modified>
  <cp:category/>
  <cp:contentStatus/>
  <dc:language/>
  <cp:version/>
</cp:coreProperties>
</file>